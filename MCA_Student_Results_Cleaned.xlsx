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L\"/>
    </mc:Choice>
  </mc:AlternateContent>
  <xr:revisionPtr revIDLastSave="0" documentId="13_ncr:1_{F1D77C20-4599-4CB4-9428-B0E151B542DA}" xr6:coauthVersionLast="47" xr6:coauthVersionMax="47" xr10:uidLastSave="{00000000-0000-0000-0000-000000000000}"/>
  <bookViews>
    <workbookView xWindow="-108" yWindow="-108" windowWidth="23256" windowHeight="12456" activeTab="1" xr2:uid="{0B750228-FBE2-45C6-940C-A78EAE58EC5E}"/>
  </bookViews>
  <sheets>
    <sheet name="MCA Marks" sheetId="1" r:id="rId1"/>
    <sheet name="Dashboard" sheetId="2" r:id="rId2"/>
  </sheets>
  <definedNames>
    <definedName name="_xlnm._FilterDatabase" localSheetId="0" hidden="1">'MCA Marks'!$A$1:$F$1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K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2" i="1"/>
</calcChain>
</file>

<file path=xl/sharedStrings.xml><?xml version="1.0" encoding="utf-8"?>
<sst xmlns="http://schemas.openxmlformats.org/spreadsheetml/2006/main" count="336" uniqueCount="187">
  <si>
    <t>Student1</t>
  </si>
  <si>
    <t>P</t>
  </si>
  <si>
    <t>Student2</t>
  </si>
  <si>
    <t>Student3</t>
  </si>
  <si>
    <t>F</t>
  </si>
  <si>
    <t>1.COMPUTER ORGANIZATION AND ARCHITECTURE
2.DATA STRUCTURES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</si>
  <si>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</si>
  <si>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</si>
  <si>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</si>
  <si>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</si>
  <si>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</si>
  <si>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</si>
  <si>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</si>
  <si>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</si>
  <si>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</si>
  <si>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</si>
  <si>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</si>
  <si>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</si>
  <si>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</si>
  <si>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</si>
  <si>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</si>
  <si>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</si>
  <si>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</si>
  <si>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</si>
  <si>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</si>
  <si>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</si>
  <si>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</si>
  <si>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1.COMPUTER ORGANIZATION AND ARCHITECTURE
2.MIS</t>
  </si>
  <si>
    <t>Student25</t>
  </si>
  <si>
    <t>Student26</t>
  </si>
  <si>
    <t>Student27</t>
  </si>
  <si>
    <t>AB</t>
  </si>
  <si>
    <t>ALL SUBJECTS</t>
  </si>
  <si>
    <t>Student28</t>
  </si>
  <si>
    <t>PRACTICAL</t>
  </si>
  <si>
    <t>Student29</t>
  </si>
  <si>
    <t>Student30</t>
  </si>
  <si>
    <t>Student31</t>
  </si>
  <si>
    <t>PRACTICAL: CORE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</si>
  <si>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</si>
  <si>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</si>
  <si>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</si>
  <si>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</si>
  <si>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</si>
  <si>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</si>
  <si>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</si>
  <si>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</si>
  <si>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</si>
  <si>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</si>
  <si>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DISCRETE STRUCTURES AND GRAPH THEORY</t>
  </si>
  <si>
    <t>Student42</t>
  </si>
  <si>
    <t>1.DISCRETE STRUCTURES AND GRAPH THEORY
2.DATA STRUCTURES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</si>
  <si>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</si>
  <si>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</si>
  <si>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</si>
  <si>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</si>
  <si>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</si>
  <si>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</si>
  <si>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</si>
  <si>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</si>
  <si>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</si>
  <si>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PRACTICAL -SKILL</t>
  </si>
  <si>
    <t>Student52</t>
  </si>
  <si>
    <t>Student53</t>
  </si>
  <si>
    <t>1.COMPUTER ORGANIZATION AND ARCHITECTURE
2.DISCRETE STRUCTURES AND GRAPH THEORY</t>
  </si>
  <si>
    <t>Student54</t>
  </si>
  <si>
    <t>Student55</t>
  </si>
  <si>
    <t>1.DATA STRUCTURES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</si>
  <si>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</si>
  <si>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</si>
  <si>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</si>
  <si>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</si>
  <si>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</si>
  <si>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</si>
  <si>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</si>
  <si>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</si>
  <si>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</si>
  <si>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</si>
  <si>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</si>
  <si>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</si>
  <si>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</si>
  <si>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ALL SUBJECTS EXCEPT PRACTICAL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</si>
  <si>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</si>
  <si>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</si>
  <si>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</si>
  <si>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</si>
  <si>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</si>
  <si>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</si>
  <si>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</si>
  <si>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</si>
  <si>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</si>
  <si>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</si>
  <si>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</si>
  <si>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</si>
  <si>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</si>
  <si>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</si>
  <si>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1.MIS
2.DATA STRUCTURES
3.DBMS
4.PRACTICAL : CORE AND SKILL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</si>
  <si>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</si>
  <si>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</si>
  <si>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</si>
  <si>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</si>
  <si>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</si>
  <si>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</si>
  <si>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</si>
  <si>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</si>
  <si>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</si>
  <si>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</si>
  <si>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</si>
  <si>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</si>
  <si>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</si>
  <si>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</si>
  <si>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1.DATA STRUCTURES
2.PRACTICAL : CORE AND SKILL</t>
  </si>
  <si>
    <t>Student97</t>
  </si>
  <si>
    <t>Student98</t>
  </si>
  <si>
    <t>Student99</t>
  </si>
  <si>
    <t>Student100</t>
  </si>
  <si>
    <t>Student101</t>
  </si>
  <si>
    <t>Student102</t>
  </si>
  <si>
    <t>1.PRACTICAL :SKILL</t>
  </si>
  <si>
    <t>Student103</t>
  </si>
  <si>
    <t>Student104</t>
  </si>
  <si>
    <t>Student105</t>
  </si>
  <si>
    <t>Student106</t>
  </si>
  <si>
    <t>1.PRACTICAL : CORE</t>
  </si>
  <si>
    <t>Student107</t>
  </si>
  <si>
    <t>Student108</t>
  </si>
  <si>
    <t>Student109</t>
  </si>
  <si>
    <t>Student110</t>
  </si>
  <si>
    <t>1.MIS
2.DATA STRUCTURES
3.DBMS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</si>
  <si>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</si>
  <si>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</si>
  <si>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</si>
  <si>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</si>
  <si>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</si>
  <si>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</si>
  <si>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</si>
  <si>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</si>
  <si>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</si>
  <si>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1.MIS
2.PRACTICAL :CORE AND SKILL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</si>
  <si>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</si>
  <si>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</si>
  <si>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</si>
  <si>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</si>
  <si>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</si>
  <si>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</si>
  <si>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</si>
  <si>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</si>
  <si>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S.No</t>
  </si>
  <si>
    <t>Regd.No</t>
  </si>
  <si>
    <t>Name</t>
  </si>
  <si>
    <t>Marks</t>
  </si>
  <si>
    <t>PASS/FAIL</t>
  </si>
  <si>
    <t>FAILED SUBJECT</t>
  </si>
  <si>
    <t>Status</t>
  </si>
  <si>
    <t>Marks_Available</t>
  </si>
  <si>
    <t>Metric</t>
  </si>
  <si>
    <t>Value</t>
  </si>
  <si>
    <t>Total students</t>
  </si>
  <si>
    <t>Pass</t>
  </si>
  <si>
    <t>Fail</t>
  </si>
  <si>
    <t>Absent</t>
  </si>
  <si>
    <t>Pass%</t>
  </si>
  <si>
    <t>Average Marks</t>
  </si>
  <si>
    <t>KPI</t>
  </si>
  <si>
    <t>Total Students</t>
  </si>
  <si>
    <t>Pass Percentage</t>
  </si>
  <si>
    <t>Count</t>
  </si>
  <si>
    <t>Fail Count</t>
  </si>
  <si>
    <t>Data Structures</t>
  </si>
  <si>
    <t>Computer Organization and Architecture</t>
  </si>
  <si>
    <t>Discrete Structures and Graph Theory</t>
  </si>
  <si>
    <t>Practical (Core/Skill)</t>
  </si>
  <si>
    <t>MIS</t>
  </si>
  <si>
    <t>DBMS</t>
  </si>
  <si>
    <t>Subject</t>
  </si>
  <si>
    <t>MCA Student Result Analysis Dashboard</t>
  </si>
  <si>
    <t>Key Insights:</t>
  </si>
  <si>
    <t>Out of 127 students, 94 students (74%) successfully passed the examination.</t>
  </si>
  <si>
    <t>The average marks of passed students is 442.</t>
  </si>
  <si>
    <r>
      <t>Data Structures</t>
    </r>
    <r>
      <rPr>
        <sz val="11"/>
        <color theme="1"/>
        <rFont val="Aptos Narrow"/>
        <family val="2"/>
        <scheme val="minor"/>
      </rPr>
      <t xml:space="preserve"> is the most challenging subject, with 13 students failing in it.</t>
    </r>
  </si>
  <si>
    <t>Computer Organization and Architecture, Discrete Structures, and Practical subjects also have a high failure rate.</t>
  </si>
  <si>
    <t>8 students (6.3%) were completely absent from the examination.</t>
  </si>
  <si>
    <t>Recommendations:</t>
  </si>
  <si>
    <r>
      <t xml:space="preserve">Conduct special remedial classes for </t>
    </r>
    <r>
      <rPr>
        <b/>
        <sz val="11"/>
        <color theme="1"/>
        <rFont val="Aptos Narrow"/>
        <family val="2"/>
        <scheme val="minor"/>
      </rPr>
      <t>Data Structures</t>
    </r>
    <r>
      <rPr>
        <sz val="11"/>
        <color theme="1"/>
        <rFont val="Aptos Narrow"/>
        <family val="2"/>
        <scheme val="minor"/>
      </rPr>
      <t>, as it has the highest failure rate.</t>
    </r>
  </si>
  <si>
    <t>Strengthen practical training and lab sessions to reduce failures in practical subjects.</t>
  </si>
  <si>
    <t>Monitor and counsel students who remain absent to improve attendance.</t>
  </si>
  <si>
    <t>Provide additional academic support for difficult subjects like Computer Organization and Discrete Structures in future batches.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</si>
</sst>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</patternFill>
    </fill>
    <fill>
      <patternFill patternType="solid">
        <fgColor rgb="FF5B9BD5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9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9" fontId="6" fillId="0" borderId="9" xfId="0" applyNumberFormat="1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Student Result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Dashboard!$D$3:$D$5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Absent</c:v>
                </c:pt>
              </c:strCache>
            </c:strRef>
          </c:cat>
          <c:val>
            <c:numRef>
              <c:f>Dashboard!$E$3:$E$5</c:f>
              <c:numCache>
                <c:formatCode>General</c:formatCode>
                <c:ptCount val="3"/>
                <c:pt idx="0">
                  <c:v>94</c:v>
                </c:pt>
                <c:pt idx="1">
                  <c:v>25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7-4532-863C-B563472824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Failed Subjects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</c:f>
              <c:strCache>
                <c:ptCount val="1"/>
                <c:pt idx="0">
                  <c:v>Fail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Dashboard!$G$3:$G$8</c:f>
              <c:strCache>
                <c:ptCount val="6"/>
                <c:pt idx="0">
                  <c:v>Data Structures</c:v>
                </c:pt>
                <c:pt idx="1">
                  <c:v>Computer Organization and Architecture</c:v>
                </c:pt>
                <c:pt idx="2">
                  <c:v>Discrete Structures and Graph Theory</c:v>
                </c:pt>
                <c:pt idx="3">
                  <c:v>Practical (Core/Skill)</c:v>
                </c:pt>
                <c:pt idx="4">
                  <c:v>MIS</c:v>
                </c:pt>
                <c:pt idx="5">
                  <c:v>DBMS</c:v>
                </c:pt>
              </c:strCache>
            </c:strRef>
          </c:cat>
          <c:val>
            <c:numRef>
              <c:f>Dashboard!$H$3:$H$8</c:f>
              <c:numCache>
                <c:formatCode>General</c:formatCode>
                <c:ptCount val="6"/>
                <c:pt idx="0">
                  <c:v>13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E-478D-B454-2177AA4FAE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9495600"/>
        <c:axId val="979494640"/>
      </c:barChart>
      <c:catAx>
        <c:axId val="9794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4640"/>
        <c:crosses val="autoZero"/>
        <c:auto val="1"/>
        <c:lblAlgn val="ctr"/>
        <c:lblOffset val="100"/>
        <c:noMultiLvlLbl val="0"/>
      </c:catAx>
      <c:valAx>
        <c:axId val="9794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9</xdr:row>
      <xdr:rowOff>160020</xdr:rowOff>
    </xdr:from>
    <xdr:to>
      <xdr:col>6</xdr:col>
      <xdr:colOff>373380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4CD0B-1417-E03C-3370-F328549E4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9</xdr:row>
      <xdr:rowOff>152400</xdr:rowOff>
    </xdr:from>
    <xdr:to>
      <xdr:col>11</xdr:col>
      <xdr:colOff>160020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A4CA1-7A14-CAC1-5B40-723206CF6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29F09-9468-4D05-B308-471B5F827FAF}" name="Table2" displayName="Table2" ref="A1:H128" totalsRowShown="0" headerRowDxfId="22" dataDxfId="23">
  <autoFilter ref="A1:H128" xr:uid="{6E929F09-9468-4D05-B308-471B5F827FAF}"/>
  <tableColumns count="8">
    <tableColumn id="1" xr3:uid="{E6BA383B-FF4F-42C7-B106-84602EEDF5CD}" name="S.No" dataDxfId="30"/>
    <tableColumn id="2" xr3:uid="{0B2B9FB4-A5FB-4E2A-9A30-93A8662973A4}" name="Regd.No" dataDxfId="29"/>
    <tableColumn id="3" xr3:uid="{B59CF269-B503-4C29-916A-53D657F5D213}" name="Name" dataDxfId="28"/>
    <tableColumn id="4" xr3:uid="{4D3A2C0D-2E1E-46AE-BE0E-596975983D87}" name="Marks" dataDxfId="27"/>
    <tableColumn id="5" xr3:uid="{0DA49D5E-6A75-48BA-AED8-5D912B5949D1}" name="PASS/FAIL" dataDxfId="26"/>
    <tableColumn id="6" xr3:uid="{03A9C55C-770E-45F3-BE3B-C993B4BE461D}" name="FAILED SUBJECT" dataDxfId="25"/>
    <tableColumn id="7" xr3:uid="{B244F753-7071-4DCD-99ED-8165A1150E1C}" name="Status" dataDxfId="24">
      <calculatedColumnFormula>IF(E2="P","Pass",IF(E2="F","Fail","Absent"))</calculatedColumnFormula>
    </tableColumn>
    <tableColumn id="8" xr3:uid="{067681F6-6465-44A1-8A57-C3148F0A25A6}" name="Marks_Available" dataDxfId="21">
      <calculatedColumnFormula>IF(D2="","No","Yes")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AA2CE5-ED07-4650-A1C5-E8C247808BB3}" name="Table3" displayName="Table3" ref="A2:B8" totalsRowShown="0" headerRowDxfId="12" dataDxfId="11" headerRowBorderDxfId="19" tableBorderDxfId="20" totalsRowBorderDxfId="18">
  <autoFilter ref="A2:B8" xr:uid="{BDAA2CE5-ED07-4650-A1C5-E8C247808BB3}"/>
  <tableColumns count="2">
    <tableColumn id="1" xr3:uid="{B4F618D6-A31F-4035-AE8A-724FFE52A2B7}" name="KPI" dataDxfId="14"/>
    <tableColumn id="2" xr3:uid="{2C691447-AE7B-4870-9EDF-4FBF182AFB16}" name="Valu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0D8A0D-41B9-4A07-ADFE-53BCED6AE2A1}" name="Table4" displayName="Table4" ref="D2:E5" totalsRowShown="0" headerRowDxfId="8" dataDxfId="7" headerRowBorderDxfId="16" tableBorderDxfId="17" totalsRowBorderDxfId="15">
  <autoFilter ref="D2:E5" xr:uid="{C50D8A0D-41B9-4A07-ADFE-53BCED6AE2A1}"/>
  <tableColumns count="2">
    <tableColumn id="1" xr3:uid="{991739AB-CBCB-4EF4-8F50-5117A37F49B9}" name="Status" dataDxfId="10"/>
    <tableColumn id="2" xr3:uid="{FD8D597C-277F-4BA1-AAF0-41A56021E4AD}" name="Coun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63C89A-9FC8-4425-9859-E9D44D3F04F0}" name="Table5" displayName="Table5" ref="G2:H8" totalsRowShown="0" headerRowDxfId="0" dataDxfId="6" headerRowBorderDxfId="4" tableBorderDxfId="5" totalsRowBorderDxfId="3">
  <autoFilter ref="G2:H8" xr:uid="{3363C89A-9FC8-4425-9859-E9D44D3F04F0}"/>
  <tableColumns count="2">
    <tableColumn id="1" xr3:uid="{E3B3BB27-DD97-43EC-995C-06BC7266DBDB}" name="Subject" dataDxfId="2"/>
    <tableColumn id="2" xr3:uid="{93CDCCC3-19A0-44DF-9A3A-70E227AE6827}" name="Fail 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5FB2-9EE4-4EF5-95A1-44646974F8EB}">
  <dimension ref="A1:K128"/>
  <sheetViews>
    <sheetView workbookViewId="0">
      <selection activeCell="F17" sqref="F17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10.44140625" bestFit="1" customWidth="1"/>
    <col min="4" max="4" width="10.6640625" bestFit="1" customWidth="1"/>
    <col min="5" max="5" width="14.21875" bestFit="1" customWidth="1"/>
    <col min="6" max="6" width="42.6640625" bestFit="1" customWidth="1"/>
    <col min="7" max="7" width="10.6640625" bestFit="1" customWidth="1"/>
    <col min="8" max="8" width="19.44140625" bestFit="1" customWidth="1"/>
    <col min="10" max="10" width="14.44140625" style="11" customWidth="1"/>
    <col min="11" max="11" width="9" style="11" customWidth="1"/>
  </cols>
  <sheetData>
    <row r="1" spans="1:11" x14ac:dyDescent="0.3">
      <c r="A1" s="10" t="s">
        <v>147</v>
      </c>
      <c r="B1" s="10" t="s">
        <v>148</v>
      </c>
      <c r="C1" s="10" t="s">
        <v>149</v>
      </c>
      <c r="D1" s="10" t="s">
        <v>150</v>
      </c>
      <c r="E1" s="10" t="s">
        <v>151</v>
      </c>
      <c r="F1" s="10" t="s">
        <v>152</v>
      </c>
      <c r="G1" s="10" t="s">
        <v>153</v>
      </c>
      <c r="H1" s="13" t="s">
        <v>154</v>
      </c>
      <c r="J1" s="11" t="s">
        <v>155</v>
      </c>
      <c r="K1" s="11" t="s">
        <v>156</v>
      </c>
    </row>
    <row r="2" spans="1:11" x14ac:dyDescent="0.3">
      <c r="A2" s="1">
        <v>1</v>
      </c>
      <c r="B2" s="2">
        <v>60001</v>
      </c>
      <c r="C2" s="2" t="s">
        <v>0</v>
      </c>
      <c r="D2" s="2">
        <v>407</v>
      </c>
      <c r="E2" s="2" t="s">
        <v>1</v>
      </c>
      <c r="F2" s="3"/>
      <c r="G2" s="11" t="str">
        <f>IF(E2="P","Pass",IF(E2="F","Fail","Absent"))</f>
        <v>Pass</v>
      </c>
      <c r="H2" s="12" t="str">
        <f t="shared" ref="H2:H33" si="0">IF(D2="","No","Yes")</f>
        <v>Yes</v>
      </c>
      <c r="J2" s="11" t="s">
        <v>157</v>
      </c>
      <c r="K2" s="11">
        <f>COUNTA(G:G)-1</f>
        <v>127</v>
      </c>
    </row>
    <row r="3" spans="1:11" x14ac:dyDescent="0.3">
      <c r="A3" s="4">
        <v>2</v>
      </c>
      <c r="B3" s="5">
        <v>60002</v>
      </c>
      <c r="C3" s="5" t="s">
        <v>2</v>
      </c>
      <c r="D3" s="5">
        <v>431</v>
      </c>
      <c r="E3" s="5" t="s">
        <v>1</v>
      </c>
      <c r="F3" s="6"/>
      <c r="G3" s="11" t="str">
        <f>IF(E3="P","Pass",IF(E3="F","Fail","Absent"))</f>
        <v>Pass</v>
      </c>
      <c r="H3" s="2" t="str">
        <f t="shared" si="0"/>
        <v>Yes</v>
      </c>
      <c r="J3" s="11" t="s">
        <v>158</v>
      </c>
      <c r="K3" s="11">
        <f>COUNTIF(G:G,"Pass")</f>
        <v>94</v>
      </c>
    </row>
    <row r="4" spans="1:11" ht="28.8" x14ac:dyDescent="0.3">
      <c r="A4" s="1">
        <v>3</v>
      </c>
      <c r="B4" s="2">
        <v>60003</v>
      </c>
      <c r="C4" s="2" t="s">
        <v>3</v>
      </c>
      <c r="D4" s="2"/>
      <c r="E4" s="2" t="s">
        <v>4</v>
      </c>
      <c r="F4" s="3" t="s">
        <v>5</v>
      </c>
      <c r="G4" s="11" t="str">
        <f>IF(E4="P","Pass",IF(E4="F","Fail","Absent"))</f>
        <v>Fail</v>
      </c>
      <c r="H4" s="2" t="str">
        <f t="shared" si="0"/>
        <v>No</v>
      </c>
      <c r="J4" s="11" t="s">
        <v>159</v>
      </c>
      <c r="K4" s="11">
        <f>COUNTIF(G:G,"Fail")</f>
        <v>25</v>
      </c>
    </row>
    <row r="5" spans="1:11" x14ac:dyDescent="0.3">
      <c r="A5" s="4">
        <v>4</v>
      </c>
      <c r="B5" s="5">
        <v>60004</v>
      </c>
      <c r="C5" s="5" t="s">
        <v>6</v>
      </c>
      <c r="D5" s="5">
        <v>442</v>
      </c>
      <c r="E5" s="5" t="s">
        <v>1</v>
      </c>
      <c r="F5" s="6"/>
      <c r="G5" s="11" t="str">
        <f>IF(E5="P","Pass",IF(E5="F","Fail","Absent"))</f>
        <v>Pass</v>
      </c>
      <c r="H5" s="2" t="str">
        <f t="shared" si="0"/>
        <v>Yes</v>
      </c>
      <c r="J5" s="11" t="s">
        <v>160</v>
      </c>
      <c r="K5" s="11">
        <f>COUNTIF(G:G,"Absent")</f>
        <v>8</v>
      </c>
    </row>
    <row r="6" spans="1:11" x14ac:dyDescent="0.3">
      <c r="A6" s="1">
        <v>5</v>
      </c>
      <c r="B6" s="2">
        <v>60005</v>
      </c>
      <c r="C6" s="2" t="s">
        <v>7</v>
      </c>
      <c r="D6" s="2">
        <v>492</v>
      </c>
      <c r="E6" s="2" t="s">
        <v>1</v>
      </c>
      <c r="F6" s="3"/>
      <c r="G6" s="11" t="str">
        <f>IF(E6="P","Pass",IF(E6="F","Fail","Absent"))</f>
        <v>Pass</v>
      </c>
      <c r="H6" s="2" t="str">
        <f t="shared" si="0"/>
        <v>Yes</v>
      </c>
      <c r="J6" s="11" t="s">
        <v>161</v>
      </c>
      <c r="K6" s="14">
        <f>K3/K2</f>
        <v>0.74015748031496065</v>
      </c>
    </row>
    <row r="7" spans="1:11" x14ac:dyDescent="0.3">
      <c r="A7" s="4">
        <v>6</v>
      </c>
      <c r="B7" s="5">
        <v>60006</v>
      </c>
      <c r="C7" s="5" t="s">
        <v>8</v>
      </c>
      <c r="D7" s="5">
        <v>458</v>
      </c>
      <c r="E7" s="5" t="s">
        <v>1</v>
      </c>
      <c r="F7" s="6"/>
      <c r="G7" s="11" t="str">
        <f>IF(E7="P","Pass",IF(E7="F","Fail","Absent"))</f>
        <v>Pass</v>
      </c>
      <c r="H7" s="2" t="str">
        <f t="shared" si="0"/>
        <v>Yes</v>
      </c>
      <c r="J7" s="11" t="s">
        <v>162</v>
      </c>
      <c r="K7" s="11">
        <f>AVERAGE(D:D)</f>
        <v>442.2659574468085</v>
      </c>
    </row>
    <row r="8" spans="1:11" x14ac:dyDescent="0.3">
      <c r="A8" s="1">
        <v>7</v>
      </c>
      <c r="B8" s="2">
        <v>60007</v>
      </c>
      <c r="C8" s="2" t="s">
        <v>9</v>
      </c>
      <c r="D8" s="2">
        <v>409</v>
      </c>
      <c r="E8" s="2" t="s">
        <v>1</v>
      </c>
      <c r="F8" s="3"/>
      <c r="G8" s="11" t="str">
        <f>IF(E8="P","Pass",IF(E8="F","Fail","Absent"))</f>
        <v>Pass</v>
      </c>
      <c r="H8" s="2" t="str">
        <f t="shared" si="0"/>
        <v>Yes</v>
      </c>
    </row>
    <row r="9" spans="1:11" x14ac:dyDescent="0.3">
      <c r="A9" s="4">
        <v>8</v>
      </c>
      <c r="B9" s="5">
        <v>60008</v>
      </c>
      <c r="C9" s="5" t="s">
        <v>10</v>
      </c>
      <c r="D9" s="5">
        <v>375</v>
      </c>
      <c r="E9" s="5" t="s">
        <v>1</v>
      </c>
      <c r="F9" s="6"/>
      <c r="G9" s="11" t="str">
        <f>IF(E9="P","Pass",IF(E9="F","Fail","Absent"))</f>
        <v>Pass</v>
      </c>
      <c r="H9" s="2" t="str">
        <f t="shared" si="0"/>
        <v>Yes</v>
      </c>
    </row>
    <row r="10" spans="1:11" x14ac:dyDescent="0.3">
      <c r="A10" s="1">
        <v>9</v>
      </c>
      <c r="B10" s="2">
        <v>60009</v>
      </c>
      <c r="C10" s="2" t="s">
        <v>11</v>
      </c>
      <c r="D10" s="2">
        <v>408</v>
      </c>
      <c r="E10" s="2" t="s">
        <v>1</v>
      </c>
      <c r="F10" s="3"/>
      <c r="G10" s="11" t="str">
        <f>IF(E10="P","Pass",IF(E10="F","Fail","Absent"))</f>
        <v>Pass</v>
      </c>
      <c r="H10" s="2" t="str">
        <f t="shared" si="0"/>
        <v>Yes</v>
      </c>
    </row>
    <row r="11" spans="1:11" x14ac:dyDescent="0.3">
      <c r="A11" s="4">
        <v>10</v>
      </c>
      <c r="B11" s="5">
        <v>60010</v>
      </c>
      <c r="C11" s="5" t="s">
        <v>12</v>
      </c>
      <c r="D11" s="5">
        <v>440</v>
      </c>
      <c r="E11" s="5" t="s">
        <v>1</v>
      </c>
      <c r="F11" s="6"/>
      <c r="G11" s="11" t="str">
        <f>IF(E11="P","Pass",IF(E11="F","Fail","Absent"))</f>
        <v>Pass</v>
      </c>
      <c r="H11" s="2" t="str">
        <f t="shared" si="0"/>
        <v>Yes</v>
      </c>
    </row>
    <row r="12" spans="1:11" x14ac:dyDescent="0.3">
      <c r="A12" s="1">
        <v>11</v>
      </c>
      <c r="B12" s="2">
        <v>60011</v>
      </c>
      <c r="C12" s="2" t="s">
        <v>13</v>
      </c>
      <c r="D12" s="2">
        <v>374</v>
      </c>
      <c r="E12" s="2" t="s">
        <v>1</v>
      </c>
      <c r="F12" s="3"/>
      <c r="G12" s="11" t="str">
        <f>IF(E12="P","Pass",IF(E12="F","Fail","Absent"))</f>
        <v>Pass</v>
      </c>
      <c r="H12" s="2" t="str">
        <f t="shared" si="0"/>
        <v>Yes</v>
      </c>
    </row>
    <row r="13" spans="1:11" x14ac:dyDescent="0.3">
      <c r="A13" s="4">
        <v>12</v>
      </c>
      <c r="B13" s="5">
        <v>60012</v>
      </c>
      <c r="C13" s="5" t="s">
        <v>14</v>
      </c>
      <c r="D13" s="5">
        <v>504</v>
      </c>
      <c r="E13" s="5" t="s">
        <v>1</v>
      </c>
      <c r="F13" s="6"/>
      <c r="G13" s="11" t="str">
        <f>IF(E13="P","Pass",IF(E13="F","Fail","Absent"))</f>
        <v>Pass</v>
      </c>
      <c r="H13" s="2" t="str">
        <f t="shared" si="0"/>
        <v>Yes</v>
      </c>
    </row>
    <row r="14" spans="1:11" x14ac:dyDescent="0.3">
      <c r="A14" s="1">
        <v>13</v>
      </c>
      <c r="B14" s="2">
        <v>60013</v>
      </c>
      <c r="C14" s="2" t="s">
        <v>15</v>
      </c>
      <c r="D14" s="2">
        <v>372</v>
      </c>
      <c r="E14" s="2" t="s">
        <v>1</v>
      </c>
      <c r="F14" s="3"/>
      <c r="G14" s="11" t="str">
        <f>IF(E14="P","Pass",IF(E14="F","Fail","Absent"))</f>
        <v>Pass</v>
      </c>
      <c r="H14" s="2" t="str">
        <f t="shared" si="0"/>
        <v>Yes</v>
      </c>
    </row>
    <row r="15" spans="1:11" x14ac:dyDescent="0.3">
      <c r="A15" s="4">
        <v>14</v>
      </c>
      <c r="B15" s="5">
        <v>60014</v>
      </c>
      <c r="C15" s="5" t="s">
        <v>16</v>
      </c>
      <c r="D15" s="5">
        <v>425</v>
      </c>
      <c r="E15" s="5" t="s">
        <v>1</v>
      </c>
      <c r="F15" s="6"/>
      <c r="G15" s="11" t="str">
        <f>IF(E15="P","Pass",IF(E15="F","Fail","Absent"))</f>
        <v>Pass</v>
      </c>
      <c r="H15" s="2" t="str">
        <f t="shared" si="0"/>
        <v>Yes</v>
      </c>
    </row>
    <row r="16" spans="1:11" x14ac:dyDescent="0.3">
      <c r="A16" s="1">
        <v>15</v>
      </c>
      <c r="B16" s="2">
        <v>60015</v>
      </c>
      <c r="C16" s="2" t="s">
        <v>17</v>
      </c>
      <c r="D16" s="2">
        <v>396</v>
      </c>
      <c r="E16" s="2" t="s">
        <v>1</v>
      </c>
      <c r="F16" s="3"/>
      <c r="G16" s="11" t="str">
        <f>IF(E16="P","Pass",IF(E16="F","Fail","Absent"))</f>
        <v>Pass</v>
      </c>
      <c r="H16" s="2" t="str">
        <f t="shared" si="0"/>
        <v>Yes</v>
      </c>
    </row>
    <row r="17" spans="1:8" x14ac:dyDescent="0.3">
      <c r="A17" s="4">
        <v>16</v>
      </c>
      <c r="B17" s="5">
        <v>60016</v>
      </c>
      <c r="C17" s="5" t="s">
        <v>18</v>
      </c>
      <c r="D17" s="5">
        <v>375</v>
      </c>
      <c r="E17" s="5" t="s">
        <v>1</v>
      </c>
      <c r="F17" s="6"/>
      <c r="G17" s="11" t="str">
        <f>IF(E17="P","Pass",IF(E17="F","Fail","Absent"))</f>
        <v>Pass</v>
      </c>
      <c r="H17" s="2" t="str">
        <f t="shared" si="0"/>
        <v>Yes</v>
      </c>
    </row>
    <row r="18" spans="1:8" ht="28.8" x14ac:dyDescent="0.3">
      <c r="A18" s="1">
        <v>17</v>
      </c>
      <c r="B18" s="2">
        <v>60017</v>
      </c>
      <c r="C18" s="2" t="s">
        <v>19</v>
      </c>
      <c r="D18" s="2"/>
      <c r="E18" s="2" t="s">
        <v>4</v>
      </c>
      <c r="F18" s="3" t="s">
        <v>5</v>
      </c>
      <c r="G18" s="11" t="str">
        <f>IF(E18="P","Pass",IF(E18="F","Fail","Absent"))</f>
        <v>Fail</v>
      </c>
      <c r="H18" s="2" t="str">
        <f t="shared" si="0"/>
        <v>No</v>
      </c>
    </row>
    <row r="19" spans="1:8" ht="28.8" x14ac:dyDescent="0.3">
      <c r="A19" s="4">
        <v>18</v>
      </c>
      <c r="B19" s="5">
        <v>60018</v>
      </c>
      <c r="C19" s="5" t="s">
        <v>20</v>
      </c>
      <c r="D19" s="5"/>
      <c r="E19" s="5" t="s">
        <v>4</v>
      </c>
      <c r="F19" s="6" t="s">
        <v>5</v>
      </c>
      <c r="G19" s="11" t="str">
        <f>IF(E19="P","Pass",IF(E19="F","Fail","Absent"))</f>
        <v>Fail</v>
      </c>
      <c r="H19" s="2" t="str">
        <f t="shared" si="0"/>
        <v>No</v>
      </c>
    </row>
    <row r="20" spans="1:8" x14ac:dyDescent="0.3">
      <c r="A20" s="1">
        <v>19</v>
      </c>
      <c r="B20" s="2">
        <v>60019</v>
      </c>
      <c r="C20" s="2" t="s">
        <v>21</v>
      </c>
      <c r="D20" s="2">
        <v>460</v>
      </c>
      <c r="E20" s="2" t="s">
        <v>1</v>
      </c>
      <c r="F20" s="3"/>
      <c r="G20" s="11" t="str">
        <f>IF(E20="P","Pass",IF(E20="F","Fail","Absent"))</f>
        <v>Pass</v>
      </c>
      <c r="H20" s="2" t="str">
        <f t="shared" si="0"/>
        <v>Yes</v>
      </c>
    </row>
    <row r="21" spans="1:8" x14ac:dyDescent="0.3">
      <c r="A21" s="4">
        <v>20</v>
      </c>
      <c r="B21" s="5">
        <v>60020</v>
      </c>
      <c r="C21" s="5" t="s">
        <v>22</v>
      </c>
      <c r="D21" s="5">
        <v>406</v>
      </c>
      <c r="E21" s="5" t="s">
        <v>1</v>
      </c>
      <c r="F21" s="6"/>
      <c r="G21" s="11" t="str">
        <f>IF(E21="P","Pass",IF(E21="F","Fail","Absent"))</f>
        <v>Pass</v>
      </c>
      <c r="H21" s="2" t="str">
        <f t="shared" si="0"/>
        <v>Yes</v>
      </c>
    </row>
    <row r="22" spans="1:8" x14ac:dyDescent="0.3">
      <c r="A22" s="1">
        <v>21</v>
      </c>
      <c r="B22" s="2">
        <v>60021</v>
      </c>
      <c r="C22" s="2" t="s">
        <v>23</v>
      </c>
      <c r="D22" s="2">
        <v>387</v>
      </c>
      <c r="E22" s="2" t="s">
        <v>1</v>
      </c>
      <c r="F22" s="3"/>
      <c r="G22" s="11" t="str">
        <f>IF(E22="P","Pass",IF(E22="F","Fail","Absent"))</f>
        <v>Pass</v>
      </c>
      <c r="H22" s="2" t="str">
        <f t="shared" si="0"/>
        <v>Yes</v>
      </c>
    </row>
    <row r="23" spans="1:8" x14ac:dyDescent="0.3">
      <c r="A23" s="4">
        <v>22</v>
      </c>
      <c r="B23" s="5">
        <v>60022</v>
      </c>
      <c r="C23" s="5" t="s">
        <v>24</v>
      </c>
      <c r="D23" s="5">
        <v>430</v>
      </c>
      <c r="E23" s="5" t="s">
        <v>1</v>
      </c>
      <c r="F23" s="6"/>
      <c r="G23" s="11" t="str">
        <f>IF(E23="P","Pass",IF(E23="F","Fail","Absent"))</f>
        <v>Pass</v>
      </c>
      <c r="H23" s="2" t="str">
        <f t="shared" si="0"/>
        <v>Yes</v>
      </c>
    </row>
    <row r="24" spans="1:8" x14ac:dyDescent="0.3">
      <c r="A24" s="1">
        <v>23</v>
      </c>
      <c r="B24" s="2">
        <v>60023</v>
      </c>
      <c r="C24" s="2" t="s">
        <v>25</v>
      </c>
      <c r="D24" s="2">
        <v>433</v>
      </c>
      <c r="E24" s="2" t="s">
        <v>1</v>
      </c>
      <c r="F24" s="3"/>
      <c r="G24" s="11" t="str">
        <f>IF(E24="P","Pass",IF(E24="F","Fail","Absent"))</f>
        <v>Pass</v>
      </c>
      <c r="H24" s="2" t="str">
        <f t="shared" si="0"/>
        <v>Yes</v>
      </c>
    </row>
    <row r="25" spans="1:8" ht="28.8" x14ac:dyDescent="0.3">
      <c r="A25" s="4">
        <v>24</v>
      </c>
      <c r="B25" s="5">
        <v>60024</v>
      </c>
      <c r="C25" s="5" t="s">
        <v>26</v>
      </c>
      <c r="D25" s="5"/>
      <c r="E25" s="5" t="s">
        <v>4</v>
      </c>
      <c r="F25" s="6" t="s">
        <v>27</v>
      </c>
      <c r="G25" s="11" t="str">
        <f>IF(E25="P","Pass",IF(E25="F","Fail","Absent"))</f>
        <v>Fail</v>
      </c>
      <c r="H25" s="2" t="str">
        <f t="shared" si="0"/>
        <v>No</v>
      </c>
    </row>
    <row r="26" spans="1:8" x14ac:dyDescent="0.3">
      <c r="A26" s="1">
        <v>25</v>
      </c>
      <c r="B26" s="2">
        <v>60025</v>
      </c>
      <c r="C26" s="2" t="s">
        <v>28</v>
      </c>
      <c r="D26" s="2">
        <v>382</v>
      </c>
      <c r="E26" s="2" t="s">
        <v>1</v>
      </c>
      <c r="F26" s="3"/>
      <c r="G26" s="11" t="str">
        <f>IF(E26="P","Pass",IF(E26="F","Fail","Absent"))</f>
        <v>Pass</v>
      </c>
      <c r="H26" s="2" t="str">
        <f t="shared" si="0"/>
        <v>Yes</v>
      </c>
    </row>
    <row r="27" spans="1:8" x14ac:dyDescent="0.3">
      <c r="A27" s="4">
        <v>26</v>
      </c>
      <c r="B27" s="5">
        <v>60026</v>
      </c>
      <c r="C27" s="5" t="s">
        <v>29</v>
      </c>
      <c r="D27" s="5">
        <v>431</v>
      </c>
      <c r="E27" s="5" t="s">
        <v>1</v>
      </c>
      <c r="F27" s="6"/>
      <c r="G27" s="11" t="str">
        <f>IF(E27="P","Pass",IF(E27="F","Fail","Absent"))</f>
        <v>Pass</v>
      </c>
      <c r="H27" s="2" t="str">
        <f t="shared" si="0"/>
        <v>Yes</v>
      </c>
    </row>
    <row r="28" spans="1:8" x14ac:dyDescent="0.3">
      <c r="A28" s="1">
        <v>27</v>
      </c>
      <c r="B28" s="2">
        <v>60027</v>
      </c>
      <c r="C28" s="2" t="s">
        <v>30</v>
      </c>
      <c r="D28" s="2"/>
      <c r="E28" s="2" t="s">
        <v>31</v>
      </c>
      <c r="F28" s="3" t="s">
        <v>32</v>
      </c>
      <c r="G28" s="11" t="str">
        <f>IF(E28="P","Pass",IF(E28="F","Fail","Absent"))</f>
        <v>Absent</v>
      </c>
      <c r="H28" s="2" t="str">
        <f t="shared" si="0"/>
        <v>No</v>
      </c>
    </row>
    <row r="29" spans="1:8" x14ac:dyDescent="0.3">
      <c r="A29" s="4">
        <v>28</v>
      </c>
      <c r="B29" s="5">
        <v>60028</v>
      </c>
      <c r="C29" s="5" t="s">
        <v>33</v>
      </c>
      <c r="D29" s="5"/>
      <c r="E29" s="5" t="s">
        <v>4</v>
      </c>
      <c r="F29" s="6" t="s">
        <v>34</v>
      </c>
      <c r="G29" s="11" t="str">
        <f>IF(E29="P","Pass",IF(E29="F","Fail","Absent"))</f>
        <v>Fail</v>
      </c>
      <c r="H29" s="2" t="str">
        <f t="shared" si="0"/>
        <v>No</v>
      </c>
    </row>
    <row r="30" spans="1:8" x14ac:dyDescent="0.3">
      <c r="A30" s="1">
        <v>29</v>
      </c>
      <c r="B30" s="2">
        <v>60029</v>
      </c>
      <c r="C30" s="2" t="s">
        <v>35</v>
      </c>
      <c r="D30" s="2">
        <v>486</v>
      </c>
      <c r="E30" s="2" t="s">
        <v>1</v>
      </c>
      <c r="F30" s="3"/>
      <c r="G30" s="11" t="str">
        <f>IF(E30="P","Pass",IF(E30="F","Fail","Absent"))</f>
        <v>Pass</v>
      </c>
      <c r="H30" s="2" t="str">
        <f t="shared" si="0"/>
        <v>Yes</v>
      </c>
    </row>
    <row r="31" spans="1:8" x14ac:dyDescent="0.3">
      <c r="A31" s="4">
        <v>30</v>
      </c>
      <c r="B31" s="5">
        <v>60030</v>
      </c>
      <c r="C31" s="5" t="s">
        <v>36</v>
      </c>
      <c r="D31" s="5">
        <v>470</v>
      </c>
      <c r="E31" s="5" t="s">
        <v>1</v>
      </c>
      <c r="F31" s="6"/>
      <c r="G31" s="11" t="str">
        <f>IF(E31="P","Pass",IF(E31="F","Fail","Absent"))</f>
        <v>Pass</v>
      </c>
      <c r="H31" s="2" t="str">
        <f t="shared" si="0"/>
        <v>Yes</v>
      </c>
    </row>
    <row r="32" spans="1:8" x14ac:dyDescent="0.3">
      <c r="A32" s="1">
        <v>31</v>
      </c>
      <c r="B32" s="2">
        <v>60031</v>
      </c>
      <c r="C32" s="2" t="s">
        <v>37</v>
      </c>
      <c r="D32" s="2"/>
      <c r="E32" s="2" t="s">
        <v>4</v>
      </c>
      <c r="F32" s="3" t="s">
        <v>38</v>
      </c>
      <c r="G32" s="11" t="str">
        <f>IF(E32="P","Pass",IF(E32="F","Fail","Absent"))</f>
        <v>Fail</v>
      </c>
      <c r="H32" s="2" t="str">
        <f t="shared" si="0"/>
        <v>No</v>
      </c>
    </row>
    <row r="33" spans="1:8" x14ac:dyDescent="0.3">
      <c r="A33" s="4">
        <v>32</v>
      </c>
      <c r="B33" s="5">
        <v>60032</v>
      </c>
      <c r="C33" s="5" t="s">
        <v>39</v>
      </c>
      <c r="D33" s="5">
        <v>359</v>
      </c>
      <c r="E33" s="5" t="s">
        <v>1</v>
      </c>
      <c r="F33" s="6"/>
      <c r="G33" s="11" t="str">
        <f>IF(E33="P","Pass",IF(E33="F","Fail","Absent"))</f>
        <v>Pass</v>
      </c>
      <c r="H33" s="2" t="str">
        <f t="shared" si="0"/>
        <v>Yes</v>
      </c>
    </row>
    <row r="34" spans="1:8" x14ac:dyDescent="0.3">
      <c r="A34" s="1">
        <v>33</v>
      </c>
      <c r="B34" s="2">
        <v>60033</v>
      </c>
      <c r="C34" s="2" t="s">
        <v>40</v>
      </c>
      <c r="D34" s="2">
        <v>414</v>
      </c>
      <c r="E34" s="2" t="s">
        <v>1</v>
      </c>
      <c r="F34" s="3"/>
      <c r="G34" s="11" t="str">
        <f>IF(E34="P","Pass",IF(E34="F","Fail","Absent"))</f>
        <v>Pass</v>
      </c>
      <c r="H34" s="2" t="str">
        <f t="shared" ref="H34:H65" si="1">IF(D34="","No","Yes")</f>
        <v>Yes</v>
      </c>
    </row>
    <row r="35" spans="1:8" x14ac:dyDescent="0.3">
      <c r="A35" s="4">
        <v>34</v>
      </c>
      <c r="B35" s="5">
        <v>60034</v>
      </c>
      <c r="C35" s="5" t="s">
        <v>41</v>
      </c>
      <c r="D35" s="5">
        <v>451</v>
      </c>
      <c r="E35" s="5" t="s">
        <v>1</v>
      </c>
      <c r="F35" s="6"/>
      <c r="G35" s="11" t="str">
        <f>IF(E35="P","Pass",IF(E35="F","Fail","Absent"))</f>
        <v>Pass</v>
      </c>
      <c r="H35" s="2" t="str">
        <f t="shared" si="1"/>
        <v>Yes</v>
      </c>
    </row>
    <row r="36" spans="1:8" x14ac:dyDescent="0.3">
      <c r="A36" s="1">
        <v>35</v>
      </c>
      <c r="B36" s="2">
        <v>60035</v>
      </c>
      <c r="C36" s="2" t="s">
        <v>42</v>
      </c>
      <c r="D36" s="2">
        <v>373</v>
      </c>
      <c r="E36" s="2" t="s">
        <v>1</v>
      </c>
      <c r="F36" s="3"/>
      <c r="G36" s="11" t="str">
        <f>IF(E36="P","Pass",IF(E36="F","Fail","Absent"))</f>
        <v>Pass</v>
      </c>
      <c r="H36" s="2" t="str">
        <f t="shared" si="1"/>
        <v>Yes</v>
      </c>
    </row>
    <row r="37" spans="1:8" x14ac:dyDescent="0.3">
      <c r="A37" s="4">
        <v>36</v>
      </c>
      <c r="B37" s="5">
        <v>60036</v>
      </c>
      <c r="C37" s="5" t="s">
        <v>43</v>
      </c>
      <c r="D37" s="5">
        <v>398</v>
      </c>
      <c r="E37" s="5" t="s">
        <v>1</v>
      </c>
      <c r="F37" s="6"/>
      <c r="G37" s="11" t="str">
        <f>IF(E37="P","Pass",IF(E37="F","Fail","Absent"))</f>
        <v>Pass</v>
      </c>
      <c r="H37" s="2" t="str">
        <f t="shared" si="1"/>
        <v>Yes</v>
      </c>
    </row>
    <row r="38" spans="1:8" x14ac:dyDescent="0.3">
      <c r="A38" s="1">
        <v>37</v>
      </c>
      <c r="B38" s="2">
        <v>60037</v>
      </c>
      <c r="C38" s="2" t="s">
        <v>44</v>
      </c>
      <c r="D38" s="2">
        <v>382</v>
      </c>
      <c r="E38" s="2" t="s">
        <v>1</v>
      </c>
      <c r="F38" s="3"/>
      <c r="G38" s="11" t="str">
        <f>IF(E38="P","Pass",IF(E38="F","Fail","Absent"))</f>
        <v>Pass</v>
      </c>
      <c r="H38" s="2" t="str">
        <f t="shared" si="1"/>
        <v>Yes</v>
      </c>
    </row>
    <row r="39" spans="1:8" x14ac:dyDescent="0.3">
      <c r="A39" s="4">
        <v>38</v>
      </c>
      <c r="B39" s="5">
        <v>60038</v>
      </c>
      <c r="C39" s="5" t="s">
        <v>45</v>
      </c>
      <c r="D39" s="5">
        <v>475</v>
      </c>
      <c r="E39" s="5" t="s">
        <v>1</v>
      </c>
      <c r="F39" s="6"/>
      <c r="G39" s="11" t="str">
        <f>IF(E39="P","Pass",IF(E39="F","Fail","Absent"))</f>
        <v>Pass</v>
      </c>
      <c r="H39" s="2" t="str">
        <f t="shared" si="1"/>
        <v>Yes</v>
      </c>
    </row>
    <row r="40" spans="1:8" x14ac:dyDescent="0.3">
      <c r="A40" s="1">
        <v>39</v>
      </c>
      <c r="B40" s="2">
        <v>60039</v>
      </c>
      <c r="C40" s="2" t="s">
        <v>46</v>
      </c>
      <c r="D40" s="2">
        <v>424</v>
      </c>
      <c r="E40" s="2" t="s">
        <v>1</v>
      </c>
      <c r="F40" s="3"/>
      <c r="G40" s="11" t="str">
        <f>IF(E40="P","Pass",IF(E40="F","Fail","Absent"))</f>
        <v>Pass</v>
      </c>
      <c r="H40" s="2" t="str">
        <f t="shared" si="1"/>
        <v>Yes</v>
      </c>
    </row>
    <row r="41" spans="1:8" x14ac:dyDescent="0.3">
      <c r="A41" s="4">
        <v>40</v>
      </c>
      <c r="B41" s="5">
        <v>60040</v>
      </c>
      <c r="C41" s="5" t="s">
        <v>47</v>
      </c>
      <c r="D41" s="5">
        <v>437</v>
      </c>
      <c r="E41" s="5" t="s">
        <v>1</v>
      </c>
      <c r="F41" s="6"/>
      <c r="G41" s="11" t="str">
        <f>IF(E41="P","Pass",IF(E41="F","Fail","Absent"))</f>
        <v>Pass</v>
      </c>
      <c r="H41" s="2" t="str">
        <f t="shared" si="1"/>
        <v>Yes</v>
      </c>
    </row>
    <row r="42" spans="1:8" x14ac:dyDescent="0.3">
      <c r="A42" s="1">
        <v>41</v>
      </c>
      <c r="B42" s="2">
        <v>60041</v>
      </c>
      <c r="C42" s="2" t="s">
        <v>48</v>
      </c>
      <c r="D42" s="2"/>
      <c r="E42" s="2" t="s">
        <v>4</v>
      </c>
      <c r="F42" s="3" t="s">
        <v>49</v>
      </c>
      <c r="G42" s="11" t="str">
        <f>IF(E42="P","Pass",IF(E42="F","Fail","Absent"))</f>
        <v>Fail</v>
      </c>
      <c r="H42" s="2" t="str">
        <f t="shared" si="1"/>
        <v>No</v>
      </c>
    </row>
    <row r="43" spans="1:8" ht="28.8" x14ac:dyDescent="0.3">
      <c r="A43" s="4">
        <v>42</v>
      </c>
      <c r="B43" s="5">
        <v>60042</v>
      </c>
      <c r="C43" s="5" t="s">
        <v>50</v>
      </c>
      <c r="D43" s="5"/>
      <c r="E43" s="5" t="s">
        <v>4</v>
      </c>
      <c r="F43" s="6" t="s">
        <v>51</v>
      </c>
      <c r="G43" s="11" t="str">
        <f>IF(E43="P","Pass",IF(E43="F","Fail","Absent"))</f>
        <v>Fail</v>
      </c>
      <c r="H43" s="2" t="str">
        <f t="shared" si="1"/>
        <v>No</v>
      </c>
    </row>
    <row r="44" spans="1:8" x14ac:dyDescent="0.3">
      <c r="A44" s="1">
        <v>43</v>
      </c>
      <c r="B44" s="2">
        <v>60043</v>
      </c>
      <c r="C44" s="2" t="s">
        <v>52</v>
      </c>
      <c r="D44" s="2">
        <v>401</v>
      </c>
      <c r="E44" s="2" t="s">
        <v>1</v>
      </c>
      <c r="F44" s="3"/>
      <c r="G44" s="11" t="str">
        <f>IF(E44="P","Pass",IF(E44="F","Fail","Absent"))</f>
        <v>Pass</v>
      </c>
      <c r="H44" s="2" t="str">
        <f t="shared" si="1"/>
        <v>Yes</v>
      </c>
    </row>
    <row r="45" spans="1:8" x14ac:dyDescent="0.3">
      <c r="A45" s="4">
        <v>44</v>
      </c>
      <c r="B45" s="5">
        <v>60044</v>
      </c>
      <c r="C45" s="5" t="s">
        <v>53</v>
      </c>
      <c r="D45" s="5">
        <v>445</v>
      </c>
      <c r="E45" s="5" t="s">
        <v>1</v>
      </c>
      <c r="F45" s="6"/>
      <c r="G45" s="11" t="str">
        <f>IF(E45="P","Pass",IF(E45="F","Fail","Absent"))</f>
        <v>Pass</v>
      </c>
      <c r="H45" s="2" t="str">
        <f t="shared" si="1"/>
        <v>Yes</v>
      </c>
    </row>
    <row r="46" spans="1:8" x14ac:dyDescent="0.3">
      <c r="A46" s="1">
        <v>45</v>
      </c>
      <c r="B46" s="2">
        <v>60045</v>
      </c>
      <c r="C46" s="2" t="s">
        <v>54</v>
      </c>
      <c r="D46" s="2">
        <v>436</v>
      </c>
      <c r="E46" s="2" t="s">
        <v>1</v>
      </c>
      <c r="F46" s="3"/>
      <c r="G46" s="11" t="str">
        <f>IF(E46="P","Pass",IF(E46="F","Fail","Absent"))</f>
        <v>Pass</v>
      </c>
      <c r="H46" s="2" t="str">
        <f t="shared" si="1"/>
        <v>Yes</v>
      </c>
    </row>
    <row r="47" spans="1:8" x14ac:dyDescent="0.3">
      <c r="A47" s="4">
        <v>46</v>
      </c>
      <c r="B47" s="5">
        <v>60046</v>
      </c>
      <c r="C47" s="5" t="s">
        <v>55</v>
      </c>
      <c r="D47" s="5">
        <v>445</v>
      </c>
      <c r="E47" s="5" t="s">
        <v>1</v>
      </c>
      <c r="F47" s="6"/>
      <c r="G47" s="11" t="str">
        <f>IF(E47="P","Pass",IF(E47="F","Fail","Absent"))</f>
        <v>Pass</v>
      </c>
      <c r="H47" s="2" t="str">
        <f t="shared" si="1"/>
        <v>Yes</v>
      </c>
    </row>
    <row r="48" spans="1:8" x14ac:dyDescent="0.3">
      <c r="A48" s="1">
        <v>47</v>
      </c>
      <c r="B48" s="2">
        <v>60047</v>
      </c>
      <c r="C48" s="2" t="s">
        <v>56</v>
      </c>
      <c r="D48" s="2">
        <v>505</v>
      </c>
      <c r="E48" s="2" t="s">
        <v>1</v>
      </c>
      <c r="F48" s="3"/>
      <c r="G48" s="11" t="str">
        <f>IF(E48="P","Pass",IF(E48="F","Fail","Absent"))</f>
        <v>Pass</v>
      </c>
      <c r="H48" s="2" t="str">
        <f t="shared" si="1"/>
        <v>Yes</v>
      </c>
    </row>
    <row r="49" spans="1:8" x14ac:dyDescent="0.3">
      <c r="A49" s="4">
        <v>48</v>
      </c>
      <c r="B49" s="5">
        <v>60048</v>
      </c>
      <c r="C49" s="5" t="s">
        <v>57</v>
      </c>
      <c r="D49" s="5">
        <v>448</v>
      </c>
      <c r="E49" s="5" t="s">
        <v>1</v>
      </c>
      <c r="F49" s="6"/>
      <c r="G49" s="11" t="str">
        <f>IF(E49="P","Pass",IF(E49="F","Fail","Absent"))</f>
        <v>Pass</v>
      </c>
      <c r="H49" s="2" t="str">
        <f t="shared" si="1"/>
        <v>Yes</v>
      </c>
    </row>
    <row r="50" spans="1:8" x14ac:dyDescent="0.3">
      <c r="A50" s="1">
        <v>49</v>
      </c>
      <c r="B50" s="2">
        <v>60049</v>
      </c>
      <c r="C50" s="2" t="s">
        <v>58</v>
      </c>
      <c r="D50" s="2">
        <v>473</v>
      </c>
      <c r="E50" s="2" t="s">
        <v>1</v>
      </c>
      <c r="F50" s="3"/>
      <c r="G50" s="11" t="str">
        <f>IF(E50="P","Pass",IF(E50="F","Fail","Absent"))</f>
        <v>Pass</v>
      </c>
      <c r="H50" s="2" t="str">
        <f t="shared" si="1"/>
        <v>Yes</v>
      </c>
    </row>
    <row r="51" spans="1:8" x14ac:dyDescent="0.3">
      <c r="A51" s="4">
        <v>50</v>
      </c>
      <c r="B51" s="5">
        <v>60050</v>
      </c>
      <c r="C51" s="5" t="s">
        <v>59</v>
      </c>
      <c r="D51" s="5"/>
      <c r="E51" s="5" t="s">
        <v>31</v>
      </c>
      <c r="F51" s="6" t="s">
        <v>32</v>
      </c>
      <c r="G51" s="11" t="str">
        <f>IF(E51="P","Pass",IF(E51="F","Fail","Absent"))</f>
        <v>Absent</v>
      </c>
      <c r="H51" s="2" t="str">
        <f t="shared" si="1"/>
        <v>No</v>
      </c>
    </row>
    <row r="52" spans="1:8" x14ac:dyDescent="0.3">
      <c r="A52" s="1">
        <v>51</v>
      </c>
      <c r="B52" s="2">
        <v>60051</v>
      </c>
      <c r="C52" s="2" t="s">
        <v>60</v>
      </c>
      <c r="D52" s="2"/>
      <c r="E52" s="2" t="s">
        <v>4</v>
      </c>
      <c r="F52" s="3" t="s">
        <v>61</v>
      </c>
      <c r="G52" s="11" t="str">
        <f>IF(E52="P","Pass",IF(E52="F","Fail","Absent"))</f>
        <v>Fail</v>
      </c>
      <c r="H52" s="2" t="str">
        <f t="shared" si="1"/>
        <v>No</v>
      </c>
    </row>
    <row r="53" spans="1:8" x14ac:dyDescent="0.3">
      <c r="A53" s="4">
        <v>52</v>
      </c>
      <c r="B53" s="5">
        <v>60052</v>
      </c>
      <c r="C53" s="5" t="s">
        <v>62</v>
      </c>
      <c r="D53" s="5">
        <v>474</v>
      </c>
      <c r="E53" s="5" t="s">
        <v>1</v>
      </c>
      <c r="F53" s="6"/>
      <c r="G53" s="11" t="str">
        <f>IF(E53="P","Pass",IF(E53="F","Fail","Absent"))</f>
        <v>Pass</v>
      </c>
      <c r="H53" s="2" t="str">
        <f t="shared" si="1"/>
        <v>Yes</v>
      </c>
    </row>
    <row r="54" spans="1:8" ht="28.8" x14ac:dyDescent="0.3">
      <c r="A54" s="1">
        <v>53</v>
      </c>
      <c r="B54" s="2">
        <v>60053</v>
      </c>
      <c r="C54" s="2" t="s">
        <v>63</v>
      </c>
      <c r="D54" s="2"/>
      <c r="E54" s="2" t="s">
        <v>4</v>
      </c>
      <c r="F54" s="3" t="s">
        <v>64</v>
      </c>
      <c r="G54" s="11" t="str">
        <f>IF(E54="P","Pass",IF(E54="F","Fail","Absent"))</f>
        <v>Fail</v>
      </c>
      <c r="H54" s="2" t="str">
        <f t="shared" si="1"/>
        <v>No</v>
      </c>
    </row>
    <row r="55" spans="1:8" x14ac:dyDescent="0.3">
      <c r="A55" s="4">
        <v>54</v>
      </c>
      <c r="B55" s="5">
        <v>60054</v>
      </c>
      <c r="C55" s="5" t="s">
        <v>65</v>
      </c>
      <c r="D55" s="5">
        <v>507</v>
      </c>
      <c r="E55" s="5" t="s">
        <v>1</v>
      </c>
      <c r="F55" s="6"/>
      <c r="G55" s="11" t="str">
        <f>IF(E55="P","Pass",IF(E55="F","Fail","Absent"))</f>
        <v>Pass</v>
      </c>
      <c r="H55" s="2" t="str">
        <f t="shared" si="1"/>
        <v>Yes</v>
      </c>
    </row>
    <row r="56" spans="1:8" x14ac:dyDescent="0.3">
      <c r="A56" s="1">
        <v>55</v>
      </c>
      <c r="B56" s="2">
        <v>60055</v>
      </c>
      <c r="C56" s="2" t="s">
        <v>66</v>
      </c>
      <c r="D56" s="2"/>
      <c r="E56" s="2" t="s">
        <v>4</v>
      </c>
      <c r="F56" s="3" t="s">
        <v>67</v>
      </c>
      <c r="G56" s="11" t="str">
        <f>IF(E56="P","Pass",IF(E56="F","Fail","Absent"))</f>
        <v>Fail</v>
      </c>
      <c r="H56" s="2" t="str">
        <f t="shared" si="1"/>
        <v>No</v>
      </c>
    </row>
    <row r="57" spans="1:8" ht="28.8" x14ac:dyDescent="0.3">
      <c r="A57" s="4">
        <v>56</v>
      </c>
      <c r="B57" s="5">
        <v>60056</v>
      </c>
      <c r="C57" s="5" t="s">
        <v>68</v>
      </c>
      <c r="D57" s="5"/>
      <c r="E57" s="5" t="s">
        <v>4</v>
      </c>
      <c r="F57" s="6" t="s">
        <v>64</v>
      </c>
      <c r="G57" s="11" t="str">
        <f>IF(E57="P","Pass",IF(E57="F","Fail","Absent"))</f>
        <v>Fail</v>
      </c>
      <c r="H57" s="2" t="str">
        <f t="shared" si="1"/>
        <v>No</v>
      </c>
    </row>
    <row r="58" spans="1:8" x14ac:dyDescent="0.3">
      <c r="A58" s="1">
        <v>57</v>
      </c>
      <c r="B58" s="2">
        <v>60057</v>
      </c>
      <c r="C58" s="2" t="s">
        <v>69</v>
      </c>
      <c r="D58" s="2"/>
      <c r="E58" s="2" t="s">
        <v>31</v>
      </c>
      <c r="F58" s="3" t="s">
        <v>32</v>
      </c>
      <c r="G58" s="11" t="str">
        <f>IF(E58="P","Pass",IF(E58="F","Fail","Absent"))</f>
        <v>Absent</v>
      </c>
      <c r="H58" s="2" t="str">
        <f t="shared" si="1"/>
        <v>No</v>
      </c>
    </row>
    <row r="59" spans="1:8" ht="28.8" x14ac:dyDescent="0.3">
      <c r="A59" s="4">
        <v>58</v>
      </c>
      <c r="B59" s="5">
        <v>60058</v>
      </c>
      <c r="C59" s="5" t="s">
        <v>70</v>
      </c>
      <c r="D59" s="5"/>
      <c r="E59" s="5" t="s">
        <v>4</v>
      </c>
      <c r="F59" s="6" t="s">
        <v>64</v>
      </c>
      <c r="G59" s="11" t="str">
        <f>IF(E59="P","Pass",IF(E59="F","Fail","Absent"))</f>
        <v>Fail</v>
      </c>
      <c r="H59" s="2" t="str">
        <f t="shared" si="1"/>
        <v>No</v>
      </c>
    </row>
    <row r="60" spans="1:8" x14ac:dyDescent="0.3">
      <c r="A60" s="1">
        <v>59</v>
      </c>
      <c r="B60" s="2">
        <v>60059</v>
      </c>
      <c r="C60" s="2" t="s">
        <v>71</v>
      </c>
      <c r="D60" s="2">
        <v>423</v>
      </c>
      <c r="E60" s="2" t="s">
        <v>1</v>
      </c>
      <c r="F60" s="3"/>
      <c r="G60" s="11" t="str">
        <f>IF(E60="P","Pass",IF(E60="F","Fail","Absent"))</f>
        <v>Pass</v>
      </c>
      <c r="H60" s="2" t="str">
        <f t="shared" si="1"/>
        <v>Yes</v>
      </c>
    </row>
    <row r="61" spans="1:8" x14ac:dyDescent="0.3">
      <c r="A61" s="4">
        <v>60</v>
      </c>
      <c r="B61" s="5">
        <v>60060</v>
      </c>
      <c r="C61" s="5" t="s">
        <v>72</v>
      </c>
      <c r="D61" s="5">
        <v>473</v>
      </c>
      <c r="E61" s="5" t="s">
        <v>1</v>
      </c>
      <c r="F61" s="6"/>
      <c r="G61" s="11" t="str">
        <f>IF(E61="P","Pass",IF(E61="F","Fail","Absent"))</f>
        <v>Pass</v>
      </c>
      <c r="H61" s="2" t="str">
        <f t="shared" si="1"/>
        <v>Yes</v>
      </c>
    </row>
    <row r="62" spans="1:8" x14ac:dyDescent="0.3">
      <c r="A62" s="1">
        <v>61</v>
      </c>
      <c r="B62" s="2">
        <v>60061</v>
      </c>
      <c r="C62" s="2" t="s">
        <v>73</v>
      </c>
      <c r="D62" s="2">
        <v>430</v>
      </c>
      <c r="E62" s="2" t="s">
        <v>1</v>
      </c>
      <c r="F62" s="3"/>
      <c r="G62" s="11" t="str">
        <f>IF(E62="P","Pass",IF(E62="F","Fail","Absent"))</f>
        <v>Pass</v>
      </c>
      <c r="H62" s="2" t="str">
        <f t="shared" si="1"/>
        <v>Yes</v>
      </c>
    </row>
    <row r="63" spans="1:8" x14ac:dyDescent="0.3">
      <c r="A63" s="4">
        <v>62</v>
      </c>
      <c r="B63" s="5">
        <v>60062</v>
      </c>
      <c r="C63" s="5" t="s">
        <v>74</v>
      </c>
      <c r="D63" s="5">
        <v>437</v>
      </c>
      <c r="E63" s="5" t="s">
        <v>1</v>
      </c>
      <c r="F63" s="6"/>
      <c r="G63" s="11" t="str">
        <f>IF(E63="P","Pass",IF(E63="F","Fail","Absent"))</f>
        <v>Pass</v>
      </c>
      <c r="H63" s="2" t="str">
        <f t="shared" si="1"/>
        <v>Yes</v>
      </c>
    </row>
    <row r="64" spans="1:8" x14ac:dyDescent="0.3">
      <c r="A64" s="1">
        <v>63</v>
      </c>
      <c r="B64" s="2">
        <v>60063</v>
      </c>
      <c r="C64" s="2" t="s">
        <v>75</v>
      </c>
      <c r="D64" s="2">
        <v>475</v>
      </c>
      <c r="E64" s="2" t="s">
        <v>1</v>
      </c>
      <c r="F64" s="3"/>
      <c r="G64" s="11" t="str">
        <f>IF(E64="P","Pass",IF(E64="F","Fail","Absent"))</f>
        <v>Pass</v>
      </c>
      <c r="H64" s="2" t="str">
        <f t="shared" si="1"/>
        <v>Yes</v>
      </c>
    </row>
    <row r="65" spans="1:8" x14ac:dyDescent="0.3">
      <c r="A65" s="4">
        <v>64</v>
      </c>
      <c r="B65" s="5">
        <v>60064</v>
      </c>
      <c r="C65" s="5" t="s">
        <v>76</v>
      </c>
      <c r="D65" s="5">
        <v>437</v>
      </c>
      <c r="E65" s="5" t="s">
        <v>1</v>
      </c>
      <c r="F65" s="6"/>
      <c r="G65" s="11" t="str">
        <f>IF(E65="P","Pass",IF(E65="F","Fail","Absent"))</f>
        <v>Pass</v>
      </c>
      <c r="H65" s="2" t="str">
        <f t="shared" si="1"/>
        <v>Yes</v>
      </c>
    </row>
    <row r="66" spans="1:8" x14ac:dyDescent="0.3">
      <c r="A66" s="1">
        <v>65</v>
      </c>
      <c r="B66" s="2">
        <v>60065</v>
      </c>
      <c r="C66" s="2" t="s">
        <v>77</v>
      </c>
      <c r="D66" s="2">
        <v>430</v>
      </c>
      <c r="E66" s="2" t="s">
        <v>1</v>
      </c>
      <c r="F66" s="3"/>
      <c r="G66" s="11" t="str">
        <f>IF(E66="P","Pass",IF(E66="F","Fail","Absent"))</f>
        <v>Pass</v>
      </c>
      <c r="H66" s="2" t="str">
        <f t="shared" ref="H66:H97" si="2">IF(D66="","No","Yes")</f>
        <v>Yes</v>
      </c>
    </row>
    <row r="67" spans="1:8" x14ac:dyDescent="0.3">
      <c r="A67" s="4">
        <v>66</v>
      </c>
      <c r="B67" s="5">
        <v>60066</v>
      </c>
      <c r="C67" s="5" t="s">
        <v>78</v>
      </c>
      <c r="D67" s="5"/>
      <c r="E67" s="5" t="s">
        <v>31</v>
      </c>
      <c r="F67" s="6" t="s">
        <v>32</v>
      </c>
      <c r="G67" s="11" t="str">
        <f>IF(E67="P","Pass",IF(E67="F","Fail","Absent"))</f>
        <v>Absent</v>
      </c>
      <c r="H67" s="2" t="str">
        <f t="shared" si="2"/>
        <v>No</v>
      </c>
    </row>
    <row r="68" spans="1:8" x14ac:dyDescent="0.3">
      <c r="A68" s="1">
        <v>67</v>
      </c>
      <c r="B68" s="2">
        <v>60067</v>
      </c>
      <c r="C68" s="2" t="s">
        <v>79</v>
      </c>
      <c r="D68" s="2">
        <v>419</v>
      </c>
      <c r="E68" s="2" t="s">
        <v>1</v>
      </c>
      <c r="F68" s="3"/>
      <c r="G68" s="11" t="str">
        <f>IF(E68="P","Pass",IF(E68="F","Fail","Absent"))</f>
        <v>Pass</v>
      </c>
      <c r="H68" s="2" t="str">
        <f t="shared" si="2"/>
        <v>Yes</v>
      </c>
    </row>
    <row r="69" spans="1:8" x14ac:dyDescent="0.3">
      <c r="A69" s="4">
        <v>68</v>
      </c>
      <c r="B69" s="5">
        <v>60068</v>
      </c>
      <c r="C69" s="5" t="s">
        <v>80</v>
      </c>
      <c r="D69" s="5"/>
      <c r="E69" s="5" t="s">
        <v>31</v>
      </c>
      <c r="F69" s="6" t="s">
        <v>81</v>
      </c>
      <c r="G69" s="11" t="str">
        <f>IF(E69="P","Pass",IF(E69="F","Fail","Absent"))</f>
        <v>Absent</v>
      </c>
      <c r="H69" s="2" t="str">
        <f t="shared" si="2"/>
        <v>No</v>
      </c>
    </row>
    <row r="70" spans="1:8" x14ac:dyDescent="0.3">
      <c r="A70" s="1">
        <v>69</v>
      </c>
      <c r="B70" s="2">
        <v>60069</v>
      </c>
      <c r="C70" s="2" t="s">
        <v>82</v>
      </c>
      <c r="D70" s="2">
        <v>502</v>
      </c>
      <c r="E70" s="2" t="s">
        <v>1</v>
      </c>
      <c r="F70" s="3"/>
      <c r="G70" s="11" t="str">
        <f>IF(E70="P","Pass",IF(E70="F","Fail","Absent"))</f>
        <v>Pass</v>
      </c>
      <c r="H70" s="2" t="str">
        <f t="shared" si="2"/>
        <v>Yes</v>
      </c>
    </row>
    <row r="71" spans="1:8" x14ac:dyDescent="0.3">
      <c r="A71" s="4">
        <v>70</v>
      </c>
      <c r="B71" s="5">
        <v>60070</v>
      </c>
      <c r="C71" s="5" t="s">
        <v>83</v>
      </c>
      <c r="D71" s="5">
        <v>425</v>
      </c>
      <c r="E71" s="5" t="s">
        <v>1</v>
      </c>
      <c r="F71" s="6"/>
      <c r="G71" s="11" t="str">
        <f>IF(E71="P","Pass",IF(E71="F","Fail","Absent"))</f>
        <v>Pass</v>
      </c>
      <c r="H71" s="2" t="str">
        <f t="shared" si="2"/>
        <v>Yes</v>
      </c>
    </row>
    <row r="72" spans="1:8" x14ac:dyDescent="0.3">
      <c r="A72" s="1">
        <v>71</v>
      </c>
      <c r="B72" s="2">
        <v>60071</v>
      </c>
      <c r="C72" s="2" t="s">
        <v>84</v>
      </c>
      <c r="D72" s="2">
        <v>443</v>
      </c>
      <c r="E72" s="2" t="s">
        <v>1</v>
      </c>
      <c r="F72" s="3"/>
      <c r="G72" s="11" t="str">
        <f>IF(E72="P","Pass",IF(E72="F","Fail","Absent"))</f>
        <v>Pass</v>
      </c>
      <c r="H72" s="2" t="str">
        <f t="shared" si="2"/>
        <v>Yes</v>
      </c>
    </row>
    <row r="73" spans="1:8" x14ac:dyDescent="0.3">
      <c r="A73" s="4">
        <v>72</v>
      </c>
      <c r="B73" s="5">
        <v>60072</v>
      </c>
      <c r="C73" s="5" t="s">
        <v>85</v>
      </c>
      <c r="D73" s="5">
        <v>475</v>
      </c>
      <c r="E73" s="5" t="s">
        <v>1</v>
      </c>
      <c r="F73" s="6"/>
      <c r="G73" s="11" t="str">
        <f>IF(E73="P","Pass",IF(E73="F","Fail","Absent"))</f>
        <v>Pass</v>
      </c>
      <c r="H73" s="2" t="str">
        <f t="shared" si="2"/>
        <v>Yes</v>
      </c>
    </row>
    <row r="74" spans="1:8" x14ac:dyDescent="0.3">
      <c r="A74" s="1">
        <v>73</v>
      </c>
      <c r="B74" s="2">
        <v>60073</v>
      </c>
      <c r="C74" s="2" t="s">
        <v>86</v>
      </c>
      <c r="D74" s="2">
        <v>458</v>
      </c>
      <c r="E74" s="2" t="s">
        <v>1</v>
      </c>
      <c r="F74" s="3"/>
      <c r="G74" s="11" t="str">
        <f>IF(E74="P","Pass",IF(E74="F","Fail","Absent"))</f>
        <v>Pass</v>
      </c>
      <c r="H74" s="2" t="str">
        <f t="shared" si="2"/>
        <v>Yes</v>
      </c>
    </row>
    <row r="75" spans="1:8" x14ac:dyDescent="0.3">
      <c r="A75" s="4">
        <v>74</v>
      </c>
      <c r="B75" s="5">
        <v>60074</v>
      </c>
      <c r="C75" s="5" t="s">
        <v>87</v>
      </c>
      <c r="D75" s="5">
        <v>434</v>
      </c>
      <c r="E75" s="5" t="s">
        <v>1</v>
      </c>
      <c r="F75" s="6"/>
      <c r="G75" s="11" t="str">
        <f>IF(E75="P","Pass",IF(E75="F","Fail","Absent"))</f>
        <v>Pass</v>
      </c>
      <c r="H75" s="2" t="str">
        <f t="shared" si="2"/>
        <v>Yes</v>
      </c>
    </row>
    <row r="76" spans="1:8" x14ac:dyDescent="0.3">
      <c r="A76" s="1">
        <v>75</v>
      </c>
      <c r="B76" s="2">
        <v>60075</v>
      </c>
      <c r="C76" s="2" t="s">
        <v>88</v>
      </c>
      <c r="D76" s="2">
        <v>481</v>
      </c>
      <c r="E76" s="2" t="s">
        <v>1</v>
      </c>
      <c r="F76" s="3"/>
      <c r="G76" s="11" t="str">
        <f>IF(E76="P","Pass",IF(E76="F","Fail","Absent"))</f>
        <v>Pass</v>
      </c>
      <c r="H76" s="2" t="str">
        <f t="shared" si="2"/>
        <v>Yes</v>
      </c>
    </row>
    <row r="77" spans="1:8" x14ac:dyDescent="0.3">
      <c r="A77" s="4">
        <v>76</v>
      </c>
      <c r="B77" s="5">
        <v>60076</v>
      </c>
      <c r="C77" s="5" t="s">
        <v>89</v>
      </c>
      <c r="D77" s="5">
        <v>465</v>
      </c>
      <c r="E77" s="5" t="s">
        <v>1</v>
      </c>
      <c r="F77" s="6"/>
      <c r="G77" s="11" t="str">
        <f>IF(E77="P","Pass",IF(E77="F","Fail","Absent"))</f>
        <v>Pass</v>
      </c>
      <c r="H77" s="2" t="str">
        <f t="shared" si="2"/>
        <v>Yes</v>
      </c>
    </row>
    <row r="78" spans="1:8" x14ac:dyDescent="0.3">
      <c r="A78" s="1">
        <v>77</v>
      </c>
      <c r="B78" s="2">
        <v>60077</v>
      </c>
      <c r="C78" s="2" t="s">
        <v>90</v>
      </c>
      <c r="D78" s="2">
        <v>469</v>
      </c>
      <c r="E78" s="2" t="s">
        <v>1</v>
      </c>
      <c r="F78" s="3"/>
      <c r="G78" s="11" t="str">
        <f>IF(E78="P","Pass",IF(E78="F","Fail","Absent"))</f>
        <v>Pass</v>
      </c>
      <c r="H78" s="2" t="str">
        <f t="shared" si="2"/>
        <v>Yes</v>
      </c>
    </row>
    <row r="79" spans="1:8" x14ac:dyDescent="0.3">
      <c r="A79" s="4">
        <v>78</v>
      </c>
      <c r="B79" s="5">
        <v>60078</v>
      </c>
      <c r="C79" s="5" t="s">
        <v>91</v>
      </c>
      <c r="D79" s="5">
        <v>458</v>
      </c>
      <c r="E79" s="5" t="s">
        <v>1</v>
      </c>
      <c r="F79" s="6"/>
      <c r="G79" s="11" t="str">
        <f>IF(E79="P","Pass",IF(E79="F","Fail","Absent"))</f>
        <v>Pass</v>
      </c>
      <c r="H79" s="2" t="str">
        <f t="shared" si="2"/>
        <v>Yes</v>
      </c>
    </row>
    <row r="80" spans="1:8" x14ac:dyDescent="0.3">
      <c r="A80" s="1">
        <v>79</v>
      </c>
      <c r="B80" s="2">
        <v>60079</v>
      </c>
      <c r="C80" s="2" t="s">
        <v>92</v>
      </c>
      <c r="D80" s="2">
        <v>484</v>
      </c>
      <c r="E80" s="2" t="s">
        <v>1</v>
      </c>
      <c r="F80" s="3"/>
      <c r="G80" s="11" t="str">
        <f>IF(E80="P","Pass",IF(E80="F","Fail","Absent"))</f>
        <v>Pass</v>
      </c>
      <c r="H80" s="2" t="str">
        <f t="shared" si="2"/>
        <v>Yes</v>
      </c>
    </row>
    <row r="81" spans="1:8" x14ac:dyDescent="0.3">
      <c r="A81" s="4">
        <v>80</v>
      </c>
      <c r="B81" s="5">
        <v>60080</v>
      </c>
      <c r="C81" s="5" t="s">
        <v>93</v>
      </c>
      <c r="D81" s="5"/>
      <c r="E81" s="5" t="s">
        <v>4</v>
      </c>
      <c r="F81" s="6" t="s">
        <v>67</v>
      </c>
      <c r="G81" s="11" t="str">
        <f>IF(E81="P","Pass",IF(E81="F","Fail","Absent"))</f>
        <v>Fail</v>
      </c>
      <c r="H81" s="2" t="str">
        <f t="shared" si="2"/>
        <v>No</v>
      </c>
    </row>
    <row r="82" spans="1:8" x14ac:dyDescent="0.3">
      <c r="A82" s="1">
        <v>81</v>
      </c>
      <c r="B82" s="2">
        <v>60081</v>
      </c>
      <c r="C82" s="2" t="s">
        <v>94</v>
      </c>
      <c r="D82" s="2"/>
      <c r="E82" s="2" t="s">
        <v>4</v>
      </c>
      <c r="F82" s="3" t="s">
        <v>38</v>
      </c>
      <c r="G82" s="11" t="str">
        <f>IF(E82="P","Pass",IF(E82="F","Fail","Absent"))</f>
        <v>Fail</v>
      </c>
      <c r="H82" s="2" t="str">
        <f t="shared" si="2"/>
        <v>No</v>
      </c>
    </row>
    <row r="83" spans="1:8" ht="57.6" x14ac:dyDescent="0.3">
      <c r="A83" s="4">
        <v>82</v>
      </c>
      <c r="B83" s="5">
        <v>60082</v>
      </c>
      <c r="C83" s="5" t="s">
        <v>95</v>
      </c>
      <c r="D83" s="5"/>
      <c r="E83" s="5" t="s">
        <v>4</v>
      </c>
      <c r="F83" s="6" t="s">
        <v>96</v>
      </c>
      <c r="G83" s="11" t="str">
        <f>IF(E83="P","Pass",IF(E83="F","Fail","Absent"))</f>
        <v>Fail</v>
      </c>
      <c r="H83" s="2" t="str">
        <f t="shared" si="2"/>
        <v>No</v>
      </c>
    </row>
    <row r="84" spans="1:8" x14ac:dyDescent="0.3">
      <c r="A84" s="1">
        <v>83</v>
      </c>
      <c r="B84" s="2">
        <v>60083</v>
      </c>
      <c r="C84" s="2" t="s">
        <v>97</v>
      </c>
      <c r="D84" s="2">
        <v>484</v>
      </c>
      <c r="E84" s="2" t="s">
        <v>1</v>
      </c>
      <c r="F84" s="3"/>
      <c r="G84" s="11" t="str">
        <f>IF(E84="P","Pass",IF(E84="F","Fail","Absent"))</f>
        <v>Pass</v>
      </c>
      <c r="H84" s="2" t="str">
        <f t="shared" si="2"/>
        <v>Yes</v>
      </c>
    </row>
    <row r="85" spans="1:8" x14ac:dyDescent="0.3">
      <c r="A85" s="4">
        <v>84</v>
      </c>
      <c r="B85" s="5">
        <v>60084</v>
      </c>
      <c r="C85" s="5" t="s">
        <v>98</v>
      </c>
      <c r="D85" s="5">
        <v>408</v>
      </c>
      <c r="E85" s="5" t="s">
        <v>1</v>
      </c>
      <c r="F85" s="6"/>
      <c r="G85" s="11" t="str">
        <f>IF(E85="P","Pass",IF(E85="F","Fail","Absent"))</f>
        <v>Pass</v>
      </c>
      <c r="H85" s="2" t="str">
        <f t="shared" si="2"/>
        <v>Yes</v>
      </c>
    </row>
    <row r="86" spans="1:8" x14ac:dyDescent="0.3">
      <c r="A86" s="1">
        <v>85</v>
      </c>
      <c r="B86" s="2">
        <v>60085</v>
      </c>
      <c r="C86" s="2" t="s">
        <v>99</v>
      </c>
      <c r="D86" s="2">
        <v>399</v>
      </c>
      <c r="E86" s="2" t="s">
        <v>1</v>
      </c>
      <c r="F86" s="3"/>
      <c r="G86" s="11" t="str">
        <f>IF(E86="P","Pass",IF(E86="F","Fail","Absent"))</f>
        <v>Pass</v>
      </c>
      <c r="H86" s="2" t="str">
        <f t="shared" si="2"/>
        <v>Yes</v>
      </c>
    </row>
    <row r="87" spans="1:8" x14ac:dyDescent="0.3">
      <c r="A87" s="4">
        <v>86</v>
      </c>
      <c r="B87" s="5">
        <v>60086</v>
      </c>
      <c r="C87" s="5" t="s">
        <v>100</v>
      </c>
      <c r="D87" s="5">
        <v>448</v>
      </c>
      <c r="E87" s="5" t="s">
        <v>1</v>
      </c>
      <c r="F87" s="6"/>
      <c r="G87" s="11" t="str">
        <f>IF(E87="P","Pass",IF(E87="F","Fail","Absent"))</f>
        <v>Pass</v>
      </c>
      <c r="H87" s="2" t="str">
        <f t="shared" si="2"/>
        <v>Yes</v>
      </c>
    </row>
    <row r="88" spans="1:8" x14ac:dyDescent="0.3">
      <c r="A88" s="1">
        <v>87</v>
      </c>
      <c r="B88" s="2">
        <v>60087</v>
      </c>
      <c r="C88" s="2" t="s">
        <v>101</v>
      </c>
      <c r="D88" s="2">
        <v>437</v>
      </c>
      <c r="E88" s="2" t="s">
        <v>1</v>
      </c>
      <c r="F88" s="3"/>
      <c r="G88" s="11" t="str">
        <f>IF(E88="P","Pass",IF(E88="F","Fail","Absent"))</f>
        <v>Pass</v>
      </c>
      <c r="H88" s="2" t="str">
        <f t="shared" si="2"/>
        <v>Yes</v>
      </c>
    </row>
    <row r="89" spans="1:8" x14ac:dyDescent="0.3">
      <c r="A89" s="4">
        <v>88</v>
      </c>
      <c r="B89" s="5">
        <v>60088</v>
      </c>
      <c r="C89" s="5" t="s">
        <v>102</v>
      </c>
      <c r="D89" s="5">
        <v>489</v>
      </c>
      <c r="E89" s="5" t="s">
        <v>1</v>
      </c>
      <c r="F89" s="6"/>
      <c r="G89" s="11" t="str">
        <f>IF(E89="P","Pass",IF(E89="F","Fail","Absent"))</f>
        <v>Pass</v>
      </c>
      <c r="H89" s="2" t="str">
        <f t="shared" si="2"/>
        <v>Yes</v>
      </c>
    </row>
    <row r="90" spans="1:8" x14ac:dyDescent="0.3">
      <c r="A90" s="1">
        <v>89</v>
      </c>
      <c r="B90" s="2">
        <v>60089</v>
      </c>
      <c r="C90" s="2" t="s">
        <v>103</v>
      </c>
      <c r="D90" s="2">
        <v>403</v>
      </c>
      <c r="E90" s="2" t="s">
        <v>1</v>
      </c>
      <c r="F90" s="3"/>
      <c r="G90" s="11" t="str">
        <f>IF(E90="P","Pass",IF(E90="F","Fail","Absent"))</f>
        <v>Pass</v>
      </c>
      <c r="H90" s="2" t="str">
        <f t="shared" si="2"/>
        <v>Yes</v>
      </c>
    </row>
    <row r="91" spans="1:8" x14ac:dyDescent="0.3">
      <c r="A91" s="4">
        <v>90</v>
      </c>
      <c r="B91" s="5">
        <v>60090</v>
      </c>
      <c r="C91" s="5" t="s">
        <v>104</v>
      </c>
      <c r="D91" s="5">
        <v>419</v>
      </c>
      <c r="E91" s="5" t="s">
        <v>1</v>
      </c>
      <c r="F91" s="6"/>
      <c r="G91" s="11" t="str">
        <f>IF(E91="P","Pass",IF(E91="F","Fail","Absent"))</f>
        <v>Pass</v>
      </c>
      <c r="H91" s="2" t="str">
        <f t="shared" si="2"/>
        <v>Yes</v>
      </c>
    </row>
    <row r="92" spans="1:8" x14ac:dyDescent="0.3">
      <c r="A92" s="1">
        <v>91</v>
      </c>
      <c r="B92" s="2">
        <v>60091</v>
      </c>
      <c r="C92" s="2" t="s">
        <v>105</v>
      </c>
      <c r="D92" s="2">
        <v>481</v>
      </c>
      <c r="E92" s="2" t="s">
        <v>1</v>
      </c>
      <c r="F92" s="3"/>
      <c r="G92" s="11" t="str">
        <f>IF(E92="P","Pass",IF(E92="F","Fail","Absent"))</f>
        <v>Pass</v>
      </c>
      <c r="H92" s="2" t="str">
        <f t="shared" si="2"/>
        <v>Yes</v>
      </c>
    </row>
    <row r="93" spans="1:8" x14ac:dyDescent="0.3">
      <c r="A93" s="4">
        <v>92</v>
      </c>
      <c r="B93" s="5">
        <v>60092</v>
      </c>
      <c r="C93" s="5" t="s">
        <v>106</v>
      </c>
      <c r="D93" s="5">
        <v>455</v>
      </c>
      <c r="E93" s="5" t="s">
        <v>1</v>
      </c>
      <c r="F93" s="6"/>
      <c r="G93" s="11" t="str">
        <f>IF(E93="P","Pass",IF(E93="F","Fail","Absent"))</f>
        <v>Pass</v>
      </c>
      <c r="H93" s="2" t="str">
        <f t="shared" si="2"/>
        <v>Yes</v>
      </c>
    </row>
    <row r="94" spans="1:8" x14ac:dyDescent="0.3">
      <c r="A94" s="1">
        <v>93</v>
      </c>
      <c r="B94" s="2">
        <v>60093</v>
      </c>
      <c r="C94" s="2" t="s">
        <v>107</v>
      </c>
      <c r="D94" s="2">
        <v>480</v>
      </c>
      <c r="E94" s="2" t="s">
        <v>1</v>
      </c>
      <c r="F94" s="3"/>
      <c r="G94" s="11" t="str">
        <f>IF(E94="P","Pass",IF(E94="F","Fail","Absent"))</f>
        <v>Pass</v>
      </c>
      <c r="H94" s="2" t="str">
        <f t="shared" si="2"/>
        <v>Yes</v>
      </c>
    </row>
    <row r="95" spans="1:8" x14ac:dyDescent="0.3">
      <c r="A95" s="4">
        <v>94</v>
      </c>
      <c r="B95" s="5">
        <v>60094</v>
      </c>
      <c r="C95" s="5" t="s">
        <v>108</v>
      </c>
      <c r="D95" s="5">
        <v>485</v>
      </c>
      <c r="E95" s="5" t="s">
        <v>1</v>
      </c>
      <c r="F95" s="6"/>
      <c r="G95" s="11" t="str">
        <f>IF(E95="P","Pass",IF(E95="F","Fail","Absent"))</f>
        <v>Pass</v>
      </c>
      <c r="H95" s="2" t="str">
        <f t="shared" si="2"/>
        <v>Yes</v>
      </c>
    </row>
    <row r="96" spans="1:8" x14ac:dyDescent="0.3">
      <c r="A96" s="1">
        <v>95</v>
      </c>
      <c r="B96" s="2">
        <v>60095</v>
      </c>
      <c r="C96" s="2" t="s">
        <v>109</v>
      </c>
      <c r="D96" s="2"/>
      <c r="E96" s="2" t="s">
        <v>31</v>
      </c>
      <c r="F96" s="3" t="s">
        <v>32</v>
      </c>
      <c r="G96" s="11" t="str">
        <f>IF(E96="P","Pass",IF(E96="F","Fail","Absent"))</f>
        <v>Absent</v>
      </c>
      <c r="H96" s="2" t="str">
        <f t="shared" si="2"/>
        <v>No</v>
      </c>
    </row>
    <row r="97" spans="1:8" ht="28.8" x14ac:dyDescent="0.3">
      <c r="A97" s="4">
        <v>96</v>
      </c>
      <c r="B97" s="5">
        <v>60096</v>
      </c>
      <c r="C97" s="5" t="s">
        <v>110</v>
      </c>
      <c r="D97" s="5"/>
      <c r="E97" s="5" t="s">
        <v>4</v>
      </c>
      <c r="F97" s="6" t="s">
        <v>111</v>
      </c>
      <c r="G97" s="11" t="str">
        <f>IF(E97="P","Pass",IF(E97="F","Fail","Absent"))</f>
        <v>Fail</v>
      </c>
      <c r="H97" s="2" t="str">
        <f t="shared" si="2"/>
        <v>No</v>
      </c>
    </row>
    <row r="98" spans="1:8" x14ac:dyDescent="0.3">
      <c r="A98" s="1">
        <v>97</v>
      </c>
      <c r="B98" s="2">
        <v>60097</v>
      </c>
      <c r="C98" s="2" t="s">
        <v>112</v>
      </c>
      <c r="D98" s="2"/>
      <c r="E98" s="2" t="s">
        <v>4</v>
      </c>
      <c r="F98" s="3" t="s">
        <v>67</v>
      </c>
      <c r="G98" s="11" t="str">
        <f>IF(E98="P","Pass",IF(E98="F","Fail","Absent"))</f>
        <v>Fail</v>
      </c>
      <c r="H98" s="2" t="str">
        <f t="shared" ref="H98:H128" si="3">IF(D98="","No","Yes")</f>
        <v>No</v>
      </c>
    </row>
    <row r="99" spans="1:8" x14ac:dyDescent="0.3">
      <c r="A99" s="4">
        <v>98</v>
      </c>
      <c r="B99" s="5">
        <v>60098</v>
      </c>
      <c r="C99" s="5" t="s">
        <v>113</v>
      </c>
      <c r="D99" s="5">
        <v>488</v>
      </c>
      <c r="E99" s="5" t="s">
        <v>1</v>
      </c>
      <c r="F99" s="6"/>
      <c r="G99" s="11" t="str">
        <f>IF(E99="P","Pass",IF(E99="F","Fail","Absent"))</f>
        <v>Pass</v>
      </c>
      <c r="H99" s="2" t="str">
        <f t="shared" si="3"/>
        <v>Yes</v>
      </c>
    </row>
    <row r="100" spans="1:8" x14ac:dyDescent="0.3">
      <c r="A100" s="1">
        <v>99</v>
      </c>
      <c r="B100" s="2">
        <v>60099</v>
      </c>
      <c r="C100" s="2" t="s">
        <v>114</v>
      </c>
      <c r="D100" s="2">
        <v>456</v>
      </c>
      <c r="E100" s="2" t="s">
        <v>1</v>
      </c>
      <c r="F100" s="3"/>
      <c r="G100" s="11" t="str">
        <f>IF(E100="P","Pass",IF(E100="F","Fail","Absent"))</f>
        <v>Pass</v>
      </c>
      <c r="H100" s="2" t="str">
        <f t="shared" si="3"/>
        <v>Yes</v>
      </c>
    </row>
    <row r="101" spans="1:8" x14ac:dyDescent="0.3">
      <c r="A101" s="4">
        <v>100</v>
      </c>
      <c r="B101" s="5">
        <v>60100</v>
      </c>
      <c r="C101" s="5" t="s">
        <v>115</v>
      </c>
      <c r="D101" s="5">
        <v>476</v>
      </c>
      <c r="E101" s="5" t="s">
        <v>1</v>
      </c>
      <c r="F101" s="6"/>
      <c r="G101" s="11" t="str">
        <f>IF(E101="P","Pass",IF(E101="F","Fail","Absent"))</f>
        <v>Pass</v>
      </c>
      <c r="H101" s="2" t="str">
        <f t="shared" si="3"/>
        <v>Yes</v>
      </c>
    </row>
    <row r="102" spans="1:8" x14ac:dyDescent="0.3">
      <c r="A102" s="1">
        <v>101</v>
      </c>
      <c r="B102" s="2">
        <v>60101</v>
      </c>
      <c r="C102" s="2" t="s">
        <v>116</v>
      </c>
      <c r="D102" s="2">
        <v>414</v>
      </c>
      <c r="E102" s="2" t="s">
        <v>1</v>
      </c>
      <c r="F102" s="3"/>
      <c r="G102" s="11" t="str">
        <f>IF(E102="P","Pass",IF(E102="F","Fail","Absent"))</f>
        <v>Pass</v>
      </c>
      <c r="H102" s="2" t="str">
        <f t="shared" si="3"/>
        <v>Yes</v>
      </c>
    </row>
    <row r="103" spans="1:8" x14ac:dyDescent="0.3">
      <c r="A103" s="4">
        <v>102</v>
      </c>
      <c r="B103" s="5">
        <v>60102</v>
      </c>
      <c r="C103" s="5" t="s">
        <v>117</v>
      </c>
      <c r="D103" s="5"/>
      <c r="E103" s="5" t="s">
        <v>4</v>
      </c>
      <c r="F103" s="6" t="s">
        <v>118</v>
      </c>
      <c r="G103" s="11" t="str">
        <f>IF(E103="P","Pass",IF(E103="F","Fail","Absent"))</f>
        <v>Fail</v>
      </c>
      <c r="H103" s="2" t="str">
        <f t="shared" si="3"/>
        <v>No</v>
      </c>
    </row>
    <row r="104" spans="1:8" x14ac:dyDescent="0.3">
      <c r="A104" s="1">
        <v>103</v>
      </c>
      <c r="B104" s="2">
        <v>60103</v>
      </c>
      <c r="C104" s="2" t="s">
        <v>119</v>
      </c>
      <c r="D104" s="2">
        <v>502</v>
      </c>
      <c r="E104" s="2" t="s">
        <v>1</v>
      </c>
      <c r="F104" s="3"/>
      <c r="G104" s="11" t="str">
        <f>IF(E104="P","Pass",IF(E104="F","Fail","Absent"))</f>
        <v>Pass</v>
      </c>
      <c r="H104" s="2" t="str">
        <f t="shared" si="3"/>
        <v>Yes</v>
      </c>
    </row>
    <row r="105" spans="1:8" x14ac:dyDescent="0.3">
      <c r="A105" s="4">
        <v>104</v>
      </c>
      <c r="B105" s="5">
        <v>60104</v>
      </c>
      <c r="C105" s="5" t="s">
        <v>120</v>
      </c>
      <c r="D105" s="5">
        <v>449</v>
      </c>
      <c r="E105" s="5" t="s">
        <v>1</v>
      </c>
      <c r="F105" s="6"/>
      <c r="G105" s="11" t="str">
        <f>IF(E105="P","Pass",IF(E105="F","Fail","Absent"))</f>
        <v>Pass</v>
      </c>
      <c r="H105" s="2" t="str">
        <f t="shared" si="3"/>
        <v>Yes</v>
      </c>
    </row>
    <row r="106" spans="1:8" x14ac:dyDescent="0.3">
      <c r="A106" s="1">
        <v>105</v>
      </c>
      <c r="B106" s="2">
        <v>60105</v>
      </c>
      <c r="C106" s="2" t="s">
        <v>121</v>
      </c>
      <c r="D106" s="2">
        <v>457</v>
      </c>
      <c r="E106" s="2" t="s">
        <v>1</v>
      </c>
      <c r="F106" s="3"/>
      <c r="G106" s="11" t="str">
        <f>IF(E106="P","Pass",IF(E106="F","Fail","Absent"))</f>
        <v>Pass</v>
      </c>
      <c r="H106" s="2" t="str">
        <f t="shared" si="3"/>
        <v>Yes</v>
      </c>
    </row>
    <row r="107" spans="1:8" x14ac:dyDescent="0.3">
      <c r="A107" s="4">
        <v>106</v>
      </c>
      <c r="B107" s="5">
        <v>60106</v>
      </c>
      <c r="C107" s="5" t="s">
        <v>122</v>
      </c>
      <c r="D107" s="5"/>
      <c r="E107" s="5" t="s">
        <v>4</v>
      </c>
      <c r="F107" s="6" t="s">
        <v>123</v>
      </c>
      <c r="G107" s="11" t="str">
        <f>IF(E107="P","Pass",IF(E107="F","Fail","Absent"))</f>
        <v>Fail</v>
      </c>
      <c r="H107" s="2" t="str">
        <f t="shared" si="3"/>
        <v>No</v>
      </c>
    </row>
    <row r="108" spans="1:8" x14ac:dyDescent="0.3">
      <c r="A108" s="1">
        <v>107</v>
      </c>
      <c r="B108" s="2">
        <v>60107</v>
      </c>
      <c r="C108" s="2" t="s">
        <v>124</v>
      </c>
      <c r="D108" s="2">
        <v>478</v>
      </c>
      <c r="E108" s="2" t="s">
        <v>1</v>
      </c>
      <c r="F108" s="3"/>
      <c r="G108" s="11" t="str">
        <f>IF(E108="P","Pass",IF(E108="F","Fail","Absent"))</f>
        <v>Pass</v>
      </c>
      <c r="H108" s="2" t="str">
        <f t="shared" si="3"/>
        <v>Yes</v>
      </c>
    </row>
    <row r="109" spans="1:8" x14ac:dyDescent="0.3">
      <c r="A109" s="4">
        <v>108</v>
      </c>
      <c r="B109" s="5">
        <v>60108</v>
      </c>
      <c r="C109" s="5" t="s">
        <v>125</v>
      </c>
      <c r="D109" s="5">
        <v>472</v>
      </c>
      <c r="E109" s="5" t="s">
        <v>1</v>
      </c>
      <c r="F109" s="6"/>
      <c r="G109" s="11" t="str">
        <f>IF(E109="P","Pass",IF(E109="F","Fail","Absent"))</f>
        <v>Pass</v>
      </c>
      <c r="H109" s="2" t="str">
        <f t="shared" si="3"/>
        <v>Yes</v>
      </c>
    </row>
    <row r="110" spans="1:8" x14ac:dyDescent="0.3">
      <c r="A110" s="1">
        <v>109</v>
      </c>
      <c r="B110" s="2">
        <v>60109</v>
      </c>
      <c r="C110" s="2" t="s">
        <v>126</v>
      </c>
      <c r="D110" s="2"/>
      <c r="E110" s="2" t="s">
        <v>31</v>
      </c>
      <c r="F110" s="3" t="s">
        <v>81</v>
      </c>
      <c r="G110" s="11" t="str">
        <f>IF(E110="P","Pass",IF(E110="F","Fail","Absent"))</f>
        <v>Absent</v>
      </c>
      <c r="H110" s="2" t="str">
        <f t="shared" si="3"/>
        <v>No</v>
      </c>
    </row>
    <row r="111" spans="1:8" ht="43.2" x14ac:dyDescent="0.3">
      <c r="A111" s="4">
        <v>110</v>
      </c>
      <c r="B111" s="5">
        <v>60110</v>
      </c>
      <c r="C111" s="5" t="s">
        <v>127</v>
      </c>
      <c r="D111" s="5"/>
      <c r="E111" s="5" t="s">
        <v>4</v>
      </c>
      <c r="F111" s="6" t="s">
        <v>128</v>
      </c>
      <c r="G111" s="11" t="str">
        <f>IF(E111="P","Pass",IF(E111="F","Fail","Absent"))</f>
        <v>Fail</v>
      </c>
      <c r="H111" s="2" t="str">
        <f t="shared" si="3"/>
        <v>No</v>
      </c>
    </row>
    <row r="112" spans="1:8" x14ac:dyDescent="0.3">
      <c r="A112" s="1">
        <v>111</v>
      </c>
      <c r="B112" s="2">
        <v>60111</v>
      </c>
      <c r="C112" s="2" t="s">
        <v>129</v>
      </c>
      <c r="D112" s="2">
        <v>435</v>
      </c>
      <c r="E112" s="2" t="s">
        <v>1</v>
      </c>
      <c r="F112" s="3"/>
      <c r="G112" s="11" t="str">
        <f>IF(E112="P","Pass",IF(E112="F","Fail","Absent"))</f>
        <v>Pass</v>
      </c>
      <c r="H112" s="2" t="str">
        <f t="shared" si="3"/>
        <v>Yes</v>
      </c>
    </row>
    <row r="113" spans="1:8" x14ac:dyDescent="0.3">
      <c r="A113" s="4">
        <v>112</v>
      </c>
      <c r="B113" s="5">
        <v>60112</v>
      </c>
      <c r="C113" s="5" t="s">
        <v>130</v>
      </c>
      <c r="D113" s="5">
        <v>404</v>
      </c>
      <c r="E113" s="5" t="s">
        <v>1</v>
      </c>
      <c r="F113" s="6"/>
      <c r="G113" s="11" t="str">
        <f>IF(E113="P","Pass",IF(E113="F","Fail","Absent"))</f>
        <v>Pass</v>
      </c>
      <c r="H113" s="2" t="str">
        <f t="shared" si="3"/>
        <v>Yes</v>
      </c>
    </row>
    <row r="114" spans="1:8" x14ac:dyDescent="0.3">
      <c r="A114" s="1">
        <v>113</v>
      </c>
      <c r="B114" s="2">
        <v>60113</v>
      </c>
      <c r="C114" s="2" t="s">
        <v>131</v>
      </c>
      <c r="D114" s="2">
        <v>451</v>
      </c>
      <c r="E114" s="2" t="s">
        <v>1</v>
      </c>
      <c r="F114" s="3"/>
      <c r="G114" s="11" t="str">
        <f>IF(E114="P","Pass",IF(E114="F","Fail","Absent"))</f>
        <v>Pass</v>
      </c>
      <c r="H114" s="2" t="str">
        <f t="shared" si="3"/>
        <v>Yes</v>
      </c>
    </row>
    <row r="115" spans="1:8" x14ac:dyDescent="0.3">
      <c r="A115" s="4">
        <v>114</v>
      </c>
      <c r="B115" s="5">
        <v>60114</v>
      </c>
      <c r="C115" s="5" t="s">
        <v>132</v>
      </c>
      <c r="D115" s="5">
        <v>456</v>
      </c>
      <c r="E115" s="5" t="s">
        <v>1</v>
      </c>
      <c r="F115" s="6"/>
      <c r="G115" s="11" t="str">
        <f>IF(E115="P","Pass",IF(E115="F","Fail","Absent"))</f>
        <v>Pass</v>
      </c>
      <c r="H115" s="2" t="str">
        <f t="shared" si="3"/>
        <v>Yes</v>
      </c>
    </row>
    <row r="116" spans="1:8" x14ac:dyDescent="0.3">
      <c r="A116" s="1">
        <v>115</v>
      </c>
      <c r="B116" s="2">
        <v>60115</v>
      </c>
      <c r="C116" s="2" t="s">
        <v>133</v>
      </c>
      <c r="D116" s="2"/>
      <c r="E116" s="2" t="s">
        <v>4</v>
      </c>
      <c r="F116" s="3" t="s">
        <v>67</v>
      </c>
      <c r="G116" s="11" t="str">
        <f>IF(E116="P","Pass",IF(E116="F","Fail","Absent"))</f>
        <v>Fail</v>
      </c>
      <c r="H116" s="2" t="str">
        <f t="shared" si="3"/>
        <v>No</v>
      </c>
    </row>
    <row r="117" spans="1:8" x14ac:dyDescent="0.3">
      <c r="A117" s="4">
        <v>116</v>
      </c>
      <c r="B117" s="5">
        <v>60116</v>
      </c>
      <c r="C117" s="5" t="s">
        <v>134</v>
      </c>
      <c r="D117" s="5">
        <v>488</v>
      </c>
      <c r="E117" s="5" t="s">
        <v>1</v>
      </c>
      <c r="F117" s="6"/>
      <c r="G117" s="11" t="str">
        <f>IF(E117="P","Pass",IF(E117="F","Fail","Absent"))</f>
        <v>Pass</v>
      </c>
      <c r="H117" s="2" t="str">
        <f t="shared" si="3"/>
        <v>Yes</v>
      </c>
    </row>
    <row r="118" spans="1:8" x14ac:dyDescent="0.3">
      <c r="A118" s="1">
        <v>117</v>
      </c>
      <c r="B118" s="2">
        <v>60117</v>
      </c>
      <c r="C118" s="2" t="s">
        <v>135</v>
      </c>
      <c r="D118" s="2"/>
      <c r="E118" s="2" t="s">
        <v>31</v>
      </c>
      <c r="F118" s="3" t="s">
        <v>32</v>
      </c>
      <c r="G118" s="11" t="str">
        <f>IF(E118="P","Pass",IF(E118="F","Fail","Absent"))</f>
        <v>Absent</v>
      </c>
      <c r="H118" s="2" t="str">
        <f t="shared" si="3"/>
        <v>No</v>
      </c>
    </row>
    <row r="119" spans="1:8" x14ac:dyDescent="0.3">
      <c r="A119" s="4">
        <v>118</v>
      </c>
      <c r="B119" s="5">
        <v>60118</v>
      </c>
      <c r="C119" s="5" t="s">
        <v>136</v>
      </c>
      <c r="D119" s="5">
        <v>453</v>
      </c>
      <c r="E119" s="5" t="s">
        <v>1</v>
      </c>
      <c r="F119" s="6"/>
      <c r="G119" s="11" t="str">
        <f>IF(E119="P","Pass",IF(E119="F","Fail","Absent"))</f>
        <v>Pass</v>
      </c>
      <c r="H119" s="2" t="str">
        <f t="shared" si="3"/>
        <v>Yes</v>
      </c>
    </row>
    <row r="120" spans="1:8" ht="28.8" x14ac:dyDescent="0.3">
      <c r="A120" s="1">
        <v>119</v>
      </c>
      <c r="B120" s="2">
        <v>60119</v>
      </c>
      <c r="C120" s="2" t="s">
        <v>137</v>
      </c>
      <c r="D120" s="2"/>
      <c r="E120" s="2" t="s">
        <v>4</v>
      </c>
      <c r="F120" s="3" t="s">
        <v>138</v>
      </c>
      <c r="G120" s="11" t="str">
        <f>IF(E120="P","Pass",IF(E120="F","Fail","Absent"))</f>
        <v>Fail</v>
      </c>
      <c r="H120" s="2" t="str">
        <f t="shared" si="3"/>
        <v>No</v>
      </c>
    </row>
    <row r="121" spans="1:8" x14ac:dyDescent="0.3">
      <c r="A121" s="4">
        <v>120</v>
      </c>
      <c r="B121" s="5">
        <v>60120</v>
      </c>
      <c r="C121" s="5" t="s">
        <v>139</v>
      </c>
      <c r="D121" s="5">
        <v>440</v>
      </c>
      <c r="E121" s="5" t="s">
        <v>1</v>
      </c>
      <c r="F121" s="6"/>
      <c r="G121" s="11" t="str">
        <f>IF(E121="P","Pass",IF(E121="F","Fail","Absent"))</f>
        <v>Pass</v>
      </c>
      <c r="H121" s="2" t="str">
        <f t="shared" si="3"/>
        <v>Yes</v>
      </c>
    </row>
    <row r="122" spans="1:8" x14ac:dyDescent="0.3">
      <c r="A122" s="1">
        <v>121</v>
      </c>
      <c r="B122" s="2">
        <v>60121</v>
      </c>
      <c r="C122" s="2" t="s">
        <v>140</v>
      </c>
      <c r="D122" s="2">
        <v>457</v>
      </c>
      <c r="E122" s="2" t="s">
        <v>1</v>
      </c>
      <c r="F122" s="3"/>
      <c r="G122" s="11" t="str">
        <f>IF(E122="P","Pass",IF(E122="F","Fail","Absent"))</f>
        <v>Pass</v>
      </c>
      <c r="H122" s="2" t="str">
        <f t="shared" si="3"/>
        <v>Yes</v>
      </c>
    </row>
    <row r="123" spans="1:8" x14ac:dyDescent="0.3">
      <c r="A123" s="4">
        <v>122</v>
      </c>
      <c r="B123" s="5">
        <v>60122</v>
      </c>
      <c r="C123" s="5" t="s">
        <v>141</v>
      </c>
      <c r="D123" s="5">
        <v>457</v>
      </c>
      <c r="E123" s="5" t="s">
        <v>1</v>
      </c>
      <c r="F123" s="6"/>
      <c r="G123" s="11" t="str">
        <f>IF(E123="P","Pass",IF(E123="F","Fail","Absent"))</f>
        <v>Pass</v>
      </c>
      <c r="H123" s="2" t="str">
        <f t="shared" si="3"/>
        <v>Yes</v>
      </c>
    </row>
    <row r="124" spans="1:8" x14ac:dyDescent="0.3">
      <c r="A124" s="1">
        <v>123</v>
      </c>
      <c r="B124" s="2">
        <v>60123</v>
      </c>
      <c r="C124" s="2" t="s">
        <v>142</v>
      </c>
      <c r="D124" s="2">
        <v>405</v>
      </c>
      <c r="E124" s="2" t="s">
        <v>1</v>
      </c>
      <c r="F124" s="3"/>
      <c r="G124" s="11" t="str">
        <f>IF(E124="P","Pass",IF(E124="F","Fail","Absent"))</f>
        <v>Pass</v>
      </c>
      <c r="H124" s="2" t="str">
        <f t="shared" si="3"/>
        <v>Yes</v>
      </c>
    </row>
    <row r="125" spans="1:8" x14ac:dyDescent="0.3">
      <c r="A125" s="4">
        <v>124</v>
      </c>
      <c r="B125" s="5">
        <v>60124</v>
      </c>
      <c r="C125" s="5" t="s">
        <v>143</v>
      </c>
      <c r="D125" s="5">
        <v>420</v>
      </c>
      <c r="E125" s="5" t="s">
        <v>1</v>
      </c>
      <c r="F125" s="6"/>
      <c r="G125" s="11" t="str">
        <f>IF(E125="P","Pass",IF(E125="F","Fail","Absent"))</f>
        <v>Pass</v>
      </c>
      <c r="H125" s="2" t="str">
        <f t="shared" si="3"/>
        <v>Yes</v>
      </c>
    </row>
    <row r="126" spans="1:8" x14ac:dyDescent="0.3">
      <c r="A126" s="1">
        <v>125</v>
      </c>
      <c r="B126" s="2">
        <v>60125</v>
      </c>
      <c r="C126" s="2" t="s">
        <v>144</v>
      </c>
      <c r="D126" s="2">
        <v>469</v>
      </c>
      <c r="E126" s="2" t="s">
        <v>1</v>
      </c>
      <c r="F126" s="3"/>
      <c r="G126" s="11" t="str">
        <f>IF(E126="P","Pass",IF(E126="F","Fail","Absent"))</f>
        <v>Pass</v>
      </c>
      <c r="H126" s="2" t="str">
        <f t="shared" si="3"/>
        <v>Yes</v>
      </c>
    </row>
    <row r="127" spans="1:8" x14ac:dyDescent="0.3">
      <c r="A127" s="4">
        <v>126</v>
      </c>
      <c r="B127" s="5">
        <v>60126</v>
      </c>
      <c r="C127" s="5" t="s">
        <v>145</v>
      </c>
      <c r="D127" s="5"/>
      <c r="E127" s="5" t="s">
        <v>4</v>
      </c>
      <c r="F127" s="6" t="s">
        <v>67</v>
      </c>
      <c r="G127" s="11" t="str">
        <f>IF(E127="P","Pass",IF(E127="F","Fail","Absent"))</f>
        <v>Fail</v>
      </c>
      <c r="H127" s="2" t="str">
        <f t="shared" si="3"/>
        <v>No</v>
      </c>
    </row>
    <row r="128" spans="1:8" x14ac:dyDescent="0.3">
      <c r="A128" s="7">
        <v>127</v>
      </c>
      <c r="B128" s="8">
        <v>60127</v>
      </c>
      <c r="C128" s="8" t="s">
        <v>146</v>
      </c>
      <c r="D128" s="8"/>
      <c r="E128" s="8" t="s">
        <v>4</v>
      </c>
      <c r="F128" s="9" t="s">
        <v>67</v>
      </c>
      <c r="G128" s="11" t="str">
        <f>IF(E128="P","Pass",IF(E128="F","Fail","Absent"))</f>
        <v>Fail</v>
      </c>
      <c r="H128" s="8" t="str">
        <f t="shared" si="3"/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1894-A90D-4B26-9D20-B276895C4631}">
  <dimension ref="A1:L40"/>
  <sheetViews>
    <sheetView showGridLines="0" tabSelected="1" workbookViewId="0">
      <selection activeCell="A31" sqref="A31:G31"/>
    </sheetView>
  </sheetViews>
  <sheetFormatPr defaultRowHeight="14.4" x14ac:dyDescent="0.3"/>
  <cols>
    <col min="1" max="1" width="19.109375" customWidth="1"/>
    <col min="2" max="2" width="11.44140625" bestFit="1" customWidth="1"/>
    <col min="4" max="4" width="12.109375" bestFit="1" customWidth="1"/>
    <col min="5" max="5" width="11.88671875" bestFit="1" customWidth="1"/>
    <col min="7" max="7" width="44.21875" customWidth="1"/>
    <col min="8" max="8" width="11.21875" customWidth="1"/>
  </cols>
  <sheetData>
    <row r="1" spans="1:12" s="16" customFormat="1" ht="21" x14ac:dyDescent="0.4">
      <c r="A1" s="24" t="s">
        <v>175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6" x14ac:dyDescent="0.3">
      <c r="A2" s="17" t="s">
        <v>163</v>
      </c>
      <c r="B2" s="18" t="s">
        <v>156</v>
      </c>
      <c r="D2" s="17" t="s">
        <v>153</v>
      </c>
      <c r="E2" s="18" t="s">
        <v>166</v>
      </c>
      <c r="G2" s="17" t="s">
        <v>174</v>
      </c>
      <c r="H2" s="18" t="s">
        <v>167</v>
      </c>
    </row>
    <row r="3" spans="1:12" ht="15.6" x14ac:dyDescent="0.3">
      <c r="A3" s="19" t="s">
        <v>164</v>
      </c>
      <c r="B3" s="20">
        <v>127</v>
      </c>
      <c r="D3" s="19" t="s">
        <v>158</v>
      </c>
      <c r="E3" s="20">
        <v>94</v>
      </c>
      <c r="G3" s="19" t="s">
        <v>168</v>
      </c>
      <c r="H3" s="20">
        <v>13</v>
      </c>
    </row>
    <row r="4" spans="1:12" ht="15.6" x14ac:dyDescent="0.3">
      <c r="A4" s="19" t="s">
        <v>158</v>
      </c>
      <c r="B4" s="20">
        <v>94</v>
      </c>
      <c r="D4" s="19" t="s">
        <v>159</v>
      </c>
      <c r="E4" s="20">
        <v>25</v>
      </c>
      <c r="G4" s="19" t="s">
        <v>169</v>
      </c>
      <c r="H4" s="20">
        <v>7</v>
      </c>
    </row>
    <row r="5" spans="1:12" ht="15.6" x14ac:dyDescent="0.3">
      <c r="A5" s="19" t="s">
        <v>159</v>
      </c>
      <c r="B5" s="20">
        <v>25</v>
      </c>
      <c r="D5" s="22" t="s">
        <v>160</v>
      </c>
      <c r="E5" s="23">
        <v>8</v>
      </c>
      <c r="G5" s="19" t="s">
        <v>170</v>
      </c>
      <c r="H5" s="20">
        <v>5</v>
      </c>
    </row>
    <row r="6" spans="1:12" ht="15.6" x14ac:dyDescent="0.3">
      <c r="A6" s="19" t="s">
        <v>160</v>
      </c>
      <c r="B6" s="20">
        <v>8</v>
      </c>
      <c r="G6" s="19" t="s">
        <v>171</v>
      </c>
      <c r="H6" s="20">
        <v>8</v>
      </c>
    </row>
    <row r="7" spans="1:12" ht="21" customHeight="1" x14ac:dyDescent="0.3">
      <c r="A7" s="19" t="s">
        <v>165</v>
      </c>
      <c r="B7" s="21">
        <v>0.74</v>
      </c>
      <c r="G7" s="19" t="s">
        <v>172</v>
      </c>
      <c r="H7" s="20">
        <v>4</v>
      </c>
    </row>
    <row r="8" spans="1:12" ht="15.6" x14ac:dyDescent="0.3">
      <c r="A8" s="22" t="s">
        <v>162</v>
      </c>
      <c r="B8" s="23">
        <v>442</v>
      </c>
      <c r="G8" s="22" t="s">
        <v>173</v>
      </c>
      <c r="H8" s="23">
        <v>2</v>
      </c>
    </row>
    <row r="27" spans="1:7" x14ac:dyDescent="0.3">
      <c r="A27" s="15" t="s">
        <v>176</v>
      </c>
      <c r="B27" s="15"/>
      <c r="C27" s="15"/>
      <c r="D27" s="15"/>
      <c r="E27" s="15"/>
      <c r="F27" s="15"/>
      <c r="G27" s="15"/>
    </row>
    <row r="28" spans="1:7" x14ac:dyDescent="0.3">
      <c r="A28" s="25"/>
    </row>
    <row r="29" spans="1:7" x14ac:dyDescent="0.3">
      <c r="A29" s="26" t="s">
        <v>177</v>
      </c>
      <c r="B29" s="26"/>
      <c r="C29" s="26"/>
      <c r="D29" s="26"/>
      <c r="E29" s="26"/>
      <c r="F29" s="26"/>
      <c r="G29" s="26"/>
    </row>
    <row r="30" spans="1:7" x14ac:dyDescent="0.3">
      <c r="A30" s="26" t="s">
        <v>178</v>
      </c>
      <c r="B30" s="26"/>
      <c r="C30" s="26"/>
      <c r="D30" s="26"/>
      <c r="E30" s="26"/>
      <c r="F30" s="26"/>
      <c r="G30" s="26"/>
    </row>
    <row r="31" spans="1:7" x14ac:dyDescent="0.3">
      <c r="A31" s="27" t="s">
        <v>179</v>
      </c>
      <c r="B31" s="27"/>
      <c r="C31" s="27"/>
      <c r="D31" s="27"/>
      <c r="E31" s="27"/>
      <c r="F31" s="27"/>
      <c r="G31" s="27"/>
    </row>
    <row r="32" spans="1:7" x14ac:dyDescent="0.3">
      <c r="A32" s="26" t="s">
        <v>180</v>
      </c>
      <c r="B32" s="26"/>
      <c r="C32" s="26"/>
      <c r="D32" s="26"/>
      <c r="E32" s="26"/>
      <c r="F32" s="26"/>
      <c r="G32" s="26"/>
    </row>
    <row r="33" spans="1:7" x14ac:dyDescent="0.3">
      <c r="A33" s="26" t="s">
        <v>181</v>
      </c>
      <c r="B33" s="26"/>
      <c r="C33" s="26"/>
      <c r="D33" s="26"/>
      <c r="E33" s="26"/>
      <c r="F33" s="26"/>
      <c r="G33" s="26"/>
    </row>
    <row r="35" spans="1:7" x14ac:dyDescent="0.3">
      <c r="A35" s="15" t="s">
        <v>182</v>
      </c>
      <c r="B35" s="15"/>
      <c r="C35" s="15"/>
      <c r="D35" s="15"/>
      <c r="E35" s="15"/>
      <c r="F35" s="15"/>
      <c r="G35" s="15"/>
    </row>
    <row r="36" spans="1:7" x14ac:dyDescent="0.3">
      <c r="A36" s="25"/>
    </row>
    <row r="37" spans="1:7" x14ac:dyDescent="0.3">
      <c r="A37" s="26" t="s">
        <v>183</v>
      </c>
      <c r="B37" s="26"/>
      <c r="C37" s="26"/>
      <c r="D37" s="26"/>
      <c r="E37" s="26"/>
      <c r="F37" s="26"/>
      <c r="G37" s="26"/>
    </row>
    <row r="38" spans="1:7" x14ac:dyDescent="0.3">
      <c r="A38" s="26" t="s">
        <v>184</v>
      </c>
      <c r="B38" s="26"/>
      <c r="C38" s="26"/>
      <c r="D38" s="26"/>
      <c r="E38" s="26"/>
      <c r="F38" s="26"/>
      <c r="G38" s="26"/>
    </row>
    <row r="39" spans="1:7" x14ac:dyDescent="0.3">
      <c r="A39" s="26" t="s">
        <v>185</v>
      </c>
      <c r="B39" s="26"/>
      <c r="C39" s="26"/>
      <c r="D39" s="26"/>
      <c r="E39" s="26"/>
      <c r="F39" s="26"/>
      <c r="G39" s="26"/>
    </row>
    <row r="40" spans="1:7" x14ac:dyDescent="0.3">
      <c r="A40" s="26" t="s">
        <v>186</v>
      </c>
      <c r="B40" s="26"/>
      <c r="C40" s="26"/>
      <c r="D40" s="26"/>
      <c r="E40" s="26"/>
      <c r="F40" s="26"/>
      <c r="G40" s="26"/>
    </row>
  </sheetData>
  <mergeCells count="12">
    <mergeCell ref="A35:G35"/>
    <mergeCell ref="A33:G33"/>
    <mergeCell ref="A31:G31"/>
    <mergeCell ref="A30:G30"/>
    <mergeCell ref="A29:G29"/>
    <mergeCell ref="A27:G27"/>
    <mergeCell ref="A40:G40"/>
    <mergeCell ref="A38:G38"/>
    <mergeCell ref="A39:G39"/>
    <mergeCell ref="A37:G37"/>
    <mergeCell ref="A1:L1"/>
    <mergeCell ref="A32:G32"/>
  </mergeCells>
  <phoneticPr fontId="5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MCA Marks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</dc:creator>
  <cp:lastModifiedBy>Anil K</cp:lastModifiedBy>
  <dcterms:created xsi:type="dcterms:W3CDTF">2026-09-09T11:38:50Z</dcterms:created>
  <dcterms:modified xsi:type="dcterms:W3CDTF">2026-09-16T08:52:23Z</dcterms:modified>
</cp:coreProperties>
</file>